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átia\Desktop\"/>
    </mc:Choice>
  </mc:AlternateContent>
  <xr:revisionPtr revIDLastSave="0" documentId="8_{A0B0179A-EF4D-4AF4-AA4C-AE833B125DAB}" xr6:coauthVersionLast="47" xr6:coauthVersionMax="47" xr10:uidLastSave="{00000000-0000-0000-0000-000000000000}"/>
  <bookViews>
    <workbookView xWindow="-120" yWindow="-120" windowWidth="29040" windowHeight="16440" xr2:uid="{594A0A31-C79E-4DCC-993A-D0F06CC5B12D}"/>
  </bookViews>
  <sheets>
    <sheet name="Planilha1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88" i="1" l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787" i="1"/>
  <c r="F786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71" i="1"/>
  <c r="F770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448" i="1"/>
  <c r="F447" i="1"/>
  <c r="F446" i="1"/>
  <c r="F442" i="1"/>
  <c r="F443" i="1"/>
  <c r="F444" i="1"/>
  <c r="F445" i="1"/>
  <c r="F441" i="1"/>
  <c r="F440" i="1"/>
  <c r="F438" i="1"/>
  <c r="F439" i="1"/>
  <c r="F437" i="1"/>
  <c r="F436" i="1"/>
  <c r="F407" i="1"/>
  <c r="F408" i="1"/>
  <c r="F413" i="1"/>
  <c r="F414" i="1"/>
  <c r="F415" i="1"/>
  <c r="F416" i="1"/>
  <c r="F417" i="1"/>
  <c r="F418" i="1"/>
  <c r="F419" i="1"/>
  <c r="F420" i="1"/>
  <c r="F421" i="1"/>
  <c r="F422" i="1"/>
  <c r="F424" i="1"/>
  <c r="F426" i="1"/>
  <c r="F429" i="1"/>
  <c r="F430" i="1"/>
  <c r="F431" i="1"/>
  <c r="F432" i="1"/>
  <c r="F433" i="1"/>
  <c r="F434" i="1"/>
  <c r="F435" i="1"/>
  <c r="F406" i="1"/>
  <c r="F404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5" i="1"/>
  <c r="F386" i="1"/>
  <c r="F388" i="1"/>
  <c r="F391" i="1"/>
  <c r="F392" i="1"/>
  <c r="F393" i="1"/>
  <c r="F396" i="1"/>
  <c r="F398" i="1"/>
  <c r="F399" i="1"/>
  <c r="F400" i="1"/>
  <c r="F401" i="1"/>
  <c r="F402" i="1"/>
  <c r="F403" i="1"/>
  <c r="F318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289" i="1"/>
  <c r="F280" i="1"/>
  <c r="F253" i="1"/>
  <c r="F254" i="1"/>
  <c r="F255" i="1"/>
  <c r="F257" i="1"/>
  <c r="F258" i="1"/>
  <c r="F259" i="1"/>
  <c r="F260" i="1"/>
  <c r="F261" i="1"/>
  <c r="F252" i="1"/>
  <c r="F242" i="1"/>
  <c r="F241" i="1"/>
  <c r="F223" i="1"/>
  <c r="F221" i="1"/>
  <c r="F220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02" i="1"/>
  <c r="F199" i="1"/>
  <c r="F196" i="1"/>
  <c r="F193" i="1"/>
  <c r="F188" i="1"/>
  <c r="F182" i="1"/>
  <c r="F180" i="1"/>
  <c r="F179" i="1"/>
  <c r="F162" i="1"/>
  <c r="F150" i="1"/>
  <c r="F151" i="1"/>
  <c r="F152" i="1"/>
  <c r="F149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24" i="1"/>
  <c r="F122" i="1"/>
  <c r="F116" i="1"/>
  <c r="F117" i="1"/>
  <c r="F118" i="1"/>
  <c r="F119" i="1"/>
  <c r="F115" i="1"/>
  <c r="F113" i="1"/>
  <c r="F112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73" i="1"/>
  <c r="F69" i="1"/>
  <c r="F70" i="1"/>
  <c r="F71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4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28" i="1"/>
  <c r="F14" i="1"/>
  <c r="F15" i="1"/>
  <c r="F16" i="1"/>
  <c r="F17" i="1"/>
  <c r="F18" i="1"/>
  <c r="F19" i="1"/>
  <c r="F20" i="1"/>
  <c r="F21" i="1"/>
  <c r="F22" i="1"/>
  <c r="F13" i="1"/>
  <c r="F282" i="1"/>
  <c r="F283" i="1"/>
  <c r="F284" i="1"/>
  <c r="F285" i="1"/>
  <c r="F286" i="1"/>
  <c r="F287" i="1"/>
  <c r="F288" i="1"/>
  <c r="F281" i="1"/>
  <c r="F279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62" i="1"/>
  <c r="F244" i="1"/>
  <c r="F245" i="1"/>
  <c r="F246" i="1"/>
  <c r="F247" i="1"/>
  <c r="F248" i="1"/>
  <c r="F249" i="1"/>
  <c r="F250" i="1"/>
  <c r="F251" i="1"/>
  <c r="F243" i="1"/>
  <c r="F239" i="1"/>
  <c r="F240" i="1"/>
  <c r="F238" i="1"/>
  <c r="F234" i="1"/>
  <c r="F236" i="1"/>
  <c r="F237" i="1"/>
  <c r="F232" i="1"/>
  <c r="F231" i="1"/>
  <c r="F225" i="1"/>
  <c r="F226" i="1"/>
  <c r="F227" i="1"/>
  <c r="F228" i="1"/>
  <c r="F229" i="1"/>
  <c r="F230" i="1"/>
  <c r="F222" i="1"/>
  <c r="F219" i="1"/>
  <c r="F201" i="1"/>
  <c r="F200" i="1"/>
  <c r="F198" i="1"/>
  <c r="F197" i="1"/>
  <c r="F195" i="1"/>
  <c r="F194" i="1"/>
  <c r="F190" i="1"/>
  <c r="F191" i="1"/>
  <c r="F192" i="1"/>
  <c r="F189" i="1"/>
  <c r="F184" i="1"/>
  <c r="F185" i="1"/>
  <c r="F186" i="1"/>
  <c r="F187" i="1"/>
  <c r="F181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63" i="1"/>
  <c r="F154" i="1"/>
  <c r="F155" i="1"/>
  <c r="F156" i="1"/>
  <c r="F157" i="1"/>
  <c r="F158" i="1"/>
  <c r="F159" i="1"/>
  <c r="F160" i="1"/>
  <c r="F161" i="1"/>
  <c r="F153" i="1"/>
  <c r="F148" i="1"/>
  <c r="F123" i="1"/>
  <c r="F121" i="1"/>
  <c r="F120" i="1"/>
  <c r="F114" i="1"/>
  <c r="F111" i="1"/>
  <c r="F72" i="1"/>
  <c r="F44" i="1"/>
  <c r="F45" i="1"/>
  <c r="F46" i="1"/>
  <c r="F47" i="1"/>
  <c r="F43" i="1"/>
  <c r="F25" i="1"/>
  <c r="F23" i="1"/>
  <c r="F5" i="1"/>
  <c r="F6" i="1"/>
  <c r="F7" i="1"/>
  <c r="F8" i="1"/>
  <c r="F9" i="1"/>
  <c r="F10" i="1"/>
  <c r="F11" i="1"/>
  <c r="F12" i="1"/>
  <c r="F4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</calcChain>
</file>

<file path=xl/sharedStrings.xml><?xml version="1.0" encoding="utf-8"?>
<sst xmlns="http://schemas.openxmlformats.org/spreadsheetml/2006/main" count="2958" uniqueCount="1063">
  <si>
    <t>Origem</t>
  </si>
  <si>
    <t>Estado</t>
  </si>
  <si>
    <t>Segmento</t>
  </si>
  <si>
    <t>Porte</t>
  </si>
  <si>
    <t>MATRIZ</t>
  </si>
  <si>
    <t>CONSTRUTORA</t>
  </si>
  <si>
    <t>PRIME</t>
  </si>
  <si>
    <t>Produto</t>
  </si>
  <si>
    <t>Descrição</t>
  </si>
  <si>
    <t>Família</t>
  </si>
  <si>
    <t>Linha</t>
  </si>
  <si>
    <t>Preço PIS/Cofins/ICMS</t>
  </si>
  <si>
    <t>TUBO PVC SOLDAVEL - 6M - 20MM</t>
  </si>
  <si>
    <t>TUBOS PVC KRONA</t>
  </si>
  <si>
    <t>TUBOS PVC SOLDAVEL</t>
  </si>
  <si>
    <t>TUBO PVC SOLDAVEL - 6M - 25MM</t>
  </si>
  <si>
    <t>TUBO PVC SOLDAVEL - 6M - 32MM</t>
  </si>
  <si>
    <t>TUBO PVC SOLDAVEL - 6M - 40MM</t>
  </si>
  <si>
    <t>TUBO PVC SOLDAVEL - 6M - 50MM</t>
  </si>
  <si>
    <t>TUBO PVC SOLDAVEL - 6M - 60MM</t>
  </si>
  <si>
    <t>TUBO PVC SOLDAVEL - 6M - 75MM</t>
  </si>
  <si>
    <t>TUBO PVC SOLDAVEL - 6M - 85MM</t>
  </si>
  <si>
    <t>TUBO PVC SOLDAVEL - 6M - 110MM</t>
  </si>
  <si>
    <t>TUBO PVC SOLDAVEL - 3M - 20MM</t>
  </si>
  <si>
    <t>TUBO PVC SOLDAVEL - 3M - 25MM</t>
  </si>
  <si>
    <t>TUBO PVC SOLDAVEL - 3M - 32MM</t>
  </si>
  <si>
    <t>TUBO PVC SOLDAVEL - 3M - 40MM</t>
  </si>
  <si>
    <t>TUBO PVC SOLDAVEL - 3M - 50MM</t>
  </si>
  <si>
    <t>TUBO PVC SOLDAVEL - 3M - 60MM</t>
  </si>
  <si>
    <t>TUBO PVC SOLDAVEL - 3M - 75MM</t>
  </si>
  <si>
    <t>TUBO ULTRATERM 3M - 15MM</t>
  </si>
  <si>
    <t>CPVC ULTRATERM</t>
  </si>
  <si>
    <t>CPVC - ULTRATERM - TUBOS</t>
  </si>
  <si>
    <t>TUBO ULTRATERM 3M - 22MM</t>
  </si>
  <si>
    <t>TUBO ULTRATERM 3M - 28MM</t>
  </si>
  <si>
    <t>TUBO PVC ESGOTO SEC. - 6M - DN 40</t>
  </si>
  <si>
    <t>TUBOS PVC ESGOTO</t>
  </si>
  <si>
    <t>TUBO PVC ESGOTO PRIM. - 6M - DN 50</t>
  </si>
  <si>
    <t>TUBO PVC ESGOTO PRIM. - 6M - DN 75</t>
  </si>
  <si>
    <t>TUBO PVC ESGOTO PRIM. - 6M - DN 100</t>
  </si>
  <si>
    <t>TUBO PVC ESGOTO PRIM. - 6M - DN 150</t>
  </si>
  <si>
    <t>TUBO PVC ESGOTO PRIM. - 6M - DN 200</t>
  </si>
  <si>
    <t>TUBO PVC LEVE - 6M - DN 250</t>
  </si>
  <si>
    <t>TUBO PVC ESGOTO SEC. - 3M- DN 40</t>
  </si>
  <si>
    <t>TUBO PVC ESGOTO PRIM. - 3M- DN 50</t>
  </si>
  <si>
    <t>TUBO PVC ESGOTO PRIM. - 3M- DN 75</t>
  </si>
  <si>
    <t>TUBO PVC ESGOTO PRIM. - 3M- DN 100</t>
  </si>
  <si>
    <t>TUBO PVC ESGOTO PRIM. - 3M- DN 150</t>
  </si>
  <si>
    <t>TUBO PVC ESGOTO PRIM. - 3M - DN 200</t>
  </si>
  <si>
    <t>TUBO PVC LEVE - 3M - DN 250</t>
  </si>
  <si>
    <t>TUBO PVC ROSC 1/2</t>
  </si>
  <si>
    <t>TUBOS PVC BRANCO</t>
  </si>
  <si>
    <t>TUBO PVC ROSC 3/4</t>
  </si>
  <si>
    <t>TUBO PVC ROSC  1</t>
  </si>
  <si>
    <t>TUBO PVC ROSC  1.1/4</t>
  </si>
  <si>
    <t>TUBO PVC ROSC  1.1/2</t>
  </si>
  <si>
    <t>TUBO PVC ROSC 2</t>
  </si>
  <si>
    <t>TUBO PVC ESG SR 6M DN40X6M</t>
  </si>
  <si>
    <t>TUBO PVC ESG SR 6M DN50X6M</t>
  </si>
  <si>
    <t>TUBO PVC ESG SR 6M DN75X6M</t>
  </si>
  <si>
    <t>TUBO PVC ESG SR 6M DN100X6M</t>
  </si>
  <si>
    <t>TUBO PVC ESG SR 6M DN150X6M</t>
  </si>
  <si>
    <t>TUBO PPR PN20 20MMX3M</t>
  </si>
  <si>
    <t>PPR</t>
  </si>
  <si>
    <t>TUBOS PPR</t>
  </si>
  <si>
    <t>TUBO PPR PN20 25MMX3M</t>
  </si>
  <si>
    <t>TUBO PPR PN20 32MMX3M</t>
  </si>
  <si>
    <t>TUBO PPR PN20 40MMX3M</t>
  </si>
  <si>
    <t>TUBO PPR PN20 50MMX3M</t>
  </si>
  <si>
    <t>TUBO PPR PN20 63MMX3M</t>
  </si>
  <si>
    <t>TUBO PPR PN20 75MMX3M</t>
  </si>
  <si>
    <t>TUBO PPR PN20 90MMX3M</t>
  </si>
  <si>
    <t>TUBO PPR PN20 110MMX3M</t>
  </si>
  <si>
    <t>TUBO PPR PN25 20MMX3M</t>
  </si>
  <si>
    <t>TUBO PPR PN25 25MMX3M</t>
  </si>
  <si>
    <t>TUBO PPR PN25 32MMX3M</t>
  </si>
  <si>
    <t>TUBO PPR PN25 40MMX3M</t>
  </si>
  <si>
    <t>TUBO PPR PN25 50MMX3M</t>
  </si>
  <si>
    <t>TUBO PPR PN25 63MMX3M</t>
  </si>
  <si>
    <t>TUBO PPR PN25 75MMX3M</t>
  </si>
  <si>
    <t>TUBO PPR PN25 90MMX3M</t>
  </si>
  <si>
    <t>TUBO PPR PN25 110MMX3M</t>
  </si>
  <si>
    <t>ADAPTADOR ROSC. P/CX.DAGUA   1/2</t>
  </si>
  <si>
    <t>CONEXOES KRONA</t>
  </si>
  <si>
    <t>ADAP.P/CX.D AGUA ROSC.</t>
  </si>
  <si>
    <t>ADAPTADOR ROSC. P/CX.DAGUA 3/4</t>
  </si>
  <si>
    <t>ADAPTADOR ROSC. P/CX.DAGUA     1</t>
  </si>
  <si>
    <t>ADAPTADOR ROSC. P/CX.DAGUA 1.1/4</t>
  </si>
  <si>
    <t>ADAPTADOR ROSC. P/CX.DAGUA 1.1/2</t>
  </si>
  <si>
    <t>ADAPTADOR ROSC. P/CX.DAGUA 2</t>
  </si>
  <si>
    <t>BUCHA RED.ROSC. 3/4 X 1/2</t>
  </si>
  <si>
    <t>CONEXOES ROSCAVEIS</t>
  </si>
  <si>
    <t>BUCHA RED.ROSC. 1 X 1/2</t>
  </si>
  <si>
    <t>BUCHA RED.ROSC. 1 X 3/4</t>
  </si>
  <si>
    <t>BUCHA RED.ROSC. 1.1/4 X 1</t>
  </si>
  <si>
    <t>BUCHA RED.ROSC. 1.1/4 X 3/4</t>
  </si>
  <si>
    <t>BUCHA RED.ROSC. 1.1/2 X 1/2</t>
  </si>
  <si>
    <t>BUCHA DE REDUCAO 1.1/2 X 3/4</t>
  </si>
  <si>
    <t>BUCHA DE REDUCAO 1.1/2 X 1</t>
  </si>
  <si>
    <t>BUCHA RED.ROSC. 1.1/2 X 1.1/4</t>
  </si>
  <si>
    <t>BUCHA RED.ROSC. 2 X 1</t>
  </si>
  <si>
    <t>BUCHA RED.ROSC. 2 X 1.1/2</t>
  </si>
  <si>
    <t>CAP ROSCAVEL 1/2</t>
  </si>
  <si>
    <t>CAP ROSCAVEL 3/4</t>
  </si>
  <si>
    <t>CAP ROSCAVEL 1</t>
  </si>
  <si>
    <t>CAP ROSCAVEL 1.1/2</t>
  </si>
  <si>
    <t>CAP ROSCAVEL 1.1/4</t>
  </si>
  <si>
    <t>CAP ROSCAVEL 2</t>
  </si>
  <si>
    <t>CURVA ROSC 1/2</t>
  </si>
  <si>
    <t>CURVA ROSC 3/4</t>
  </si>
  <si>
    <t>CURVA ROSC 1.1/4</t>
  </si>
  <si>
    <t>CURVA ROSC 1.1/2</t>
  </si>
  <si>
    <t>CURVA ROSC 1</t>
  </si>
  <si>
    <t>JOELHO 45 1/2</t>
  </si>
  <si>
    <t>JOELHO 45 3/4</t>
  </si>
  <si>
    <t>JOELHO 45 1</t>
  </si>
  <si>
    <t>JOELHO 45 1.1/2</t>
  </si>
  <si>
    <t>JOELHO 90 ROSC 1/2</t>
  </si>
  <si>
    <t>JOELHO 90 ROSC 3/4</t>
  </si>
  <si>
    <t>JOELHO 90 ROSC 1</t>
  </si>
  <si>
    <t>JOELHO 90 ROSC 1.1/4</t>
  </si>
  <si>
    <t>JOELHO 90 ROSC 1.1/2</t>
  </si>
  <si>
    <t>JOELHO 90 ROSC 2</t>
  </si>
  <si>
    <t>JOELHO RED ROSC 3/4 X 1/2</t>
  </si>
  <si>
    <t>JOELHO RED ROSC 1 X 3/4</t>
  </si>
  <si>
    <t>LUVA ROSCAVEL 1/2</t>
  </si>
  <si>
    <t>LUVA ROSCAVEL 3/4</t>
  </si>
  <si>
    <t>LUVA ROSCAVEL 1</t>
  </si>
  <si>
    <t>LUVA ROSCAVEL 1.1/4</t>
  </si>
  <si>
    <t>LUVA ROSCAVEL 1.1/2</t>
  </si>
  <si>
    <t>LUVA ROSCAVEL 2</t>
  </si>
  <si>
    <t>LUVA REDUCAO ROSCAVEL 3/4 X 1/2</t>
  </si>
  <si>
    <t>LUVA REDUCAO ROSCAVEL   1  X 3/4</t>
  </si>
  <si>
    <t>NIPEL ROSCAVEL 1/2</t>
  </si>
  <si>
    <t>NIPEL ROSCAVEL 3/4</t>
  </si>
  <si>
    <t>NIPEL ROSCAVEL 1</t>
  </si>
  <si>
    <t>NIPEL ROSCAVEL 1.1/2</t>
  </si>
  <si>
    <t>NIPEL ROSCAVEL 1.1/4</t>
  </si>
  <si>
    <t>NIPEL ROSCAVEL 2</t>
  </si>
  <si>
    <t>PLUG ROSCAVEL 1/2</t>
  </si>
  <si>
    <t>PLUG ROSCAVEL 3/4</t>
  </si>
  <si>
    <t>PLUG ROSCAVEL 1</t>
  </si>
  <si>
    <t>PLUG ROSCAVEL 1.1/2</t>
  </si>
  <si>
    <t>PLUG ROSCAVEL 1.1/4</t>
  </si>
  <si>
    <t>PLUG ROSCAVEL 2</t>
  </si>
  <si>
    <t>TE ROSCAVEL 1/2</t>
  </si>
  <si>
    <t>TE ROSCAVEL 3/4</t>
  </si>
  <si>
    <t>TE ROSCAVEL 1</t>
  </si>
  <si>
    <t>TE ROSCAVEL 1.1/4</t>
  </si>
  <si>
    <t>TE ROSCAVEL 1.1/2</t>
  </si>
  <si>
    <t>TE ROSCAVEL 2</t>
  </si>
  <si>
    <t>TE DE REDUCAO 3/4 X 1/2</t>
  </si>
  <si>
    <t>TE DE REDUCAO 1 X 3/4</t>
  </si>
  <si>
    <t>TE DE REDUCAO 1 1/2 X 3/4</t>
  </si>
  <si>
    <t>UNIAO ROSCAVEL 1/2</t>
  </si>
  <si>
    <t>UNIAO ROSCAVEL 3/4</t>
  </si>
  <si>
    <t>UNIAO ROSCAVEL  1</t>
  </si>
  <si>
    <t>UNIAO ROSCAVEL  1.1/4</t>
  </si>
  <si>
    <t>UNIAO ROSCAVEL  1.1/2</t>
  </si>
  <si>
    <t>UNIAO ROSCAVEL  2</t>
  </si>
  <si>
    <t>UNIAO ROSCAVEL  2.1/2</t>
  </si>
  <si>
    <t>UNIAO ROSCAVEL  3</t>
  </si>
  <si>
    <t>UNIAO ROSCAVEL  4</t>
  </si>
  <si>
    <t>FITA VEDAROSCA 12MM X 10M</t>
  </si>
  <si>
    <t>PRODUTOS REVENDA</t>
  </si>
  <si>
    <t>FITA VEDA ROSCA</t>
  </si>
  <si>
    <t>FITA VEDAROSCA 12MM X 25M</t>
  </si>
  <si>
    <t>FITA VEDAROSCA 18MM X 10M</t>
  </si>
  <si>
    <t>FITA VEDAROSCA 18MM X 25M</t>
  </si>
  <si>
    <t>FITA VEDAROSCA 18MM X 50M</t>
  </si>
  <si>
    <t>LUVA DE CORRER ROSCAVEL 1</t>
  </si>
  <si>
    <t>LUVA DE CORRER ROSCAVEL 1.1/2</t>
  </si>
  <si>
    <t>LUVA DE CORRER ROSCAVEL 1.1/4</t>
  </si>
  <si>
    <t>LUVA DE CORRER ROSCAVEL 2</t>
  </si>
  <si>
    <t>ADAPTADOR SOLD CURTO 20MM X 1/2</t>
  </si>
  <si>
    <t>CONEXOES SOLDAVEIS</t>
  </si>
  <si>
    <t>ADAPTADOR SOLD CURTO 25MM X 3/4</t>
  </si>
  <si>
    <t>ADAPTADOR SOLD CURTO 32MM X 1</t>
  </si>
  <si>
    <t>ADAPTADOR SOLD CURTO 40MM X 1.1/4</t>
  </si>
  <si>
    <t>ADAPTADOR SOLD CURTO 50MM X 1.1/2</t>
  </si>
  <si>
    <t>ADAPTADOR SOLD CURTO 60MM X 2</t>
  </si>
  <si>
    <t>ADAPTADOR SOLD CURTO 75MM X 2.1/2</t>
  </si>
  <si>
    <t>ADAPTADOR SOLD CURTO 85MM X 3</t>
  </si>
  <si>
    <t>ADAPTADOR SOLD CURTO 110MM X 4</t>
  </si>
  <si>
    <t>ADAPTADOR SOLD. P/CX.DAGUA 20MM X 1/2</t>
  </si>
  <si>
    <t>ADAP.P/CX.D AGUA SOLD.</t>
  </si>
  <si>
    <t>ADAPTADOR SOLD. P/CX.DAGUA 25MM X 3/4</t>
  </si>
  <si>
    <t>ADAPTADOR SOLD. P/CX.DAGUA 32MM X 1</t>
  </si>
  <si>
    <t>ADAPTADOR SOLD. P/CX.DAGUA 40MM X 1.1/4</t>
  </si>
  <si>
    <t>ADAPTADOR SOLD. P/CX.DAGUA 50MM X 1.1/2</t>
  </si>
  <si>
    <t>ADAPTADOR SOLD. P/CX.DAGUA 60MM X 2</t>
  </si>
  <si>
    <t>ADAPTADOR SOLD. P/CX.DAGUA 75MM X 2 1/2</t>
  </si>
  <si>
    <t>ADAPTADOR SOLD. P/CX.DAGUA 85MM X 3</t>
  </si>
  <si>
    <t>ADAPTADOR SOLD. P/CX.DAGUA 110MM X 4</t>
  </si>
  <si>
    <t>BUCHA RED.SOLD.CURTA  110 X 85MM</t>
  </si>
  <si>
    <t>BUCHA RED.SOLD.CURTA  25 X 20MM</t>
  </si>
  <si>
    <t>BUCHA RED.SOLD.CURTA  32 X 25MM</t>
  </si>
  <si>
    <t>BUCHA RED.SOLD.CURTA  40 X 32MM</t>
  </si>
  <si>
    <t>BUCHA RED.SOLD.CURTA  50 X 40MM</t>
  </si>
  <si>
    <t>BUCHA RED.SOLD.CURTA  60 X 50MM</t>
  </si>
  <si>
    <t>BUCHA RED.SOLD.CURTA  75 X 60MM</t>
  </si>
  <si>
    <t>BUCHA RED.SOLD.CURTA  85 X 75MM</t>
  </si>
  <si>
    <t>BUCHA RED.SOLD.LONGA 32 X 20MM</t>
  </si>
  <si>
    <t>BUCHA RED.SOLD.LONGA 40 X 20MM</t>
  </si>
  <si>
    <t>BUCHA RED.SOLD.LONGA 40 X 25MM</t>
  </si>
  <si>
    <t>BUCHA RED.SOLD.LONGA 50 X 20MM</t>
  </si>
  <si>
    <t>BUCHA RED.SOLD.LONGA 50 X 25MM</t>
  </si>
  <si>
    <t>BUCHA RED.SOLD.LONGA 50 X 32MM</t>
  </si>
  <si>
    <t>BUCHA RED.SOLD.LONGA 60 X 25MM</t>
  </si>
  <si>
    <t>BUCHA RED.SOLD.LONGA 60 X 32MM</t>
  </si>
  <si>
    <t>BUCHA RED.SOLD.LONGA 60 X 40MM</t>
  </si>
  <si>
    <t>BUCHA RED.SOLD.LONGA 60 X 50MM</t>
  </si>
  <si>
    <t>BUCHA RED.SOLD.LONGA 75 X 50MM</t>
  </si>
  <si>
    <t>BUCHA RED.SOLD.LONGA 85 X 60MM</t>
  </si>
  <si>
    <t>BUCHA RED.SOLD.LONGA 110 X 60MM</t>
  </si>
  <si>
    <t>BUCHA RED.SOLD.LONGA 110 X 75MM</t>
  </si>
  <si>
    <t>CAP SOLD - 20MM</t>
  </si>
  <si>
    <t>CAP SOLD - 25MM</t>
  </si>
  <si>
    <t>CAP SOLD - 32MM</t>
  </si>
  <si>
    <t>CAP SOLD - 40MM</t>
  </si>
  <si>
    <t>CAP SOLD - 50MM</t>
  </si>
  <si>
    <t>CAP SOLD - 60MM</t>
  </si>
  <si>
    <t>CAP SOLD - 75MM</t>
  </si>
  <si>
    <t>CAP SOLD - 85MM</t>
  </si>
  <si>
    <t>CAP SOLD - 110MM</t>
  </si>
  <si>
    <t>CURVA 45 SOLD - 20MM</t>
  </si>
  <si>
    <t>CONEXOES SOLDAVEIS/REVENDA</t>
  </si>
  <si>
    <t>CURVA 45 SOLD - 25MM</t>
  </si>
  <si>
    <t>CURVA 45 SOLD - 32MM</t>
  </si>
  <si>
    <t>CURVA 45 SOLD - 40MM</t>
  </si>
  <si>
    <t>CURVA 45 SOLD - 50MM</t>
  </si>
  <si>
    <t>CURVA 45 SOLD - 60MM</t>
  </si>
  <si>
    <t>CURVA 45 SOLD - 75MM</t>
  </si>
  <si>
    <t>CURVA 45 SOLD - 85MM</t>
  </si>
  <si>
    <t>CURVA 45 SOLD - 110MM</t>
  </si>
  <si>
    <t>CURVA DE TRANSPOSICAO SOLD - 20MM</t>
  </si>
  <si>
    <t>CURVA DE TRANSPOSICAO SOLD - 25MM</t>
  </si>
  <si>
    <t>CURVA DE TRANSPOSICAO SOLD - 32MM</t>
  </si>
  <si>
    <t>CURVA 90 SOLD - 20MM</t>
  </si>
  <si>
    <t>CURVA 90 SOLD - 25MM</t>
  </si>
  <si>
    <t>CURVA 90 SOLD - 32MM</t>
  </si>
  <si>
    <t>CURVA 90 SOLD - 40MM</t>
  </si>
  <si>
    <t>CURVA 90 SOLD - 50MM</t>
  </si>
  <si>
    <t>CURVA 90 SOLD - 60MM</t>
  </si>
  <si>
    <t>CURVA 90 SOLD - 75MM</t>
  </si>
  <si>
    <t>CURVA 90 SOLD - 85MM</t>
  </si>
  <si>
    <t>CURVA 90 SOLD - 110MM</t>
  </si>
  <si>
    <t>JOELHO 45 SOLD - 20MM</t>
  </si>
  <si>
    <t>JOELHO 45 SOLD - 25MM</t>
  </si>
  <si>
    <t>JOELHO 45 SOLD - 32MM</t>
  </si>
  <si>
    <t>JOELHO 45 SOLD - 40MM</t>
  </si>
  <si>
    <t>JOELHO 45 SOLD - 50MM</t>
  </si>
  <si>
    <t>JOELHO 45 SOLD - 60MM</t>
  </si>
  <si>
    <t>JOELHO 45 SOLD - 75MM</t>
  </si>
  <si>
    <t>JOELHO 45 SOLD - 85MM</t>
  </si>
  <si>
    <t>JOELHO 45 SOLD - 110MM</t>
  </si>
  <si>
    <t>JOELHO 90 SOLD - 20MM</t>
  </si>
  <si>
    <t>JOELHO 90 SOLD - 25MM</t>
  </si>
  <si>
    <t>JOELHO 90 SOLD - 32MM</t>
  </si>
  <si>
    <t>JOELHO 90 SOLD - 40MM</t>
  </si>
  <si>
    <t>JOELHO 90 SOLD - 50MM</t>
  </si>
  <si>
    <t>JOELHO 90 SOLD - 60MM</t>
  </si>
  <si>
    <t>JOELHO 90 SOLD - 75MM</t>
  </si>
  <si>
    <t>JOELHO 90 SOLD - 85MM</t>
  </si>
  <si>
    <t>JOELHO 90 SOLD - 110MM</t>
  </si>
  <si>
    <t>JOELHO 90 RED. SOLD 25 X 20MM</t>
  </si>
  <si>
    <t>JOELHO 90 RED. SOLD 32 X 25MM</t>
  </si>
  <si>
    <t>LUVA SOLD - 20MM</t>
  </si>
  <si>
    <t>LUVA SOLD - 25MM</t>
  </si>
  <si>
    <t>LUVA SOLD - 32MM</t>
  </si>
  <si>
    <t>LUVA SOLD - 40MM</t>
  </si>
  <si>
    <t>LUVA SOLD - 50MM</t>
  </si>
  <si>
    <t>LUVA SOLD - 60MM</t>
  </si>
  <si>
    <t>LUVA SOLD - 75MM</t>
  </si>
  <si>
    <t>LUVA SOLD - 85MM</t>
  </si>
  <si>
    <t>LUVA SOLD - 110MM</t>
  </si>
  <si>
    <t>LUVA DE CORRER P/TUBO SOLD.20MM</t>
  </si>
  <si>
    <t>LUVA DE CORRER P/TUBO SOLD.25MM</t>
  </si>
  <si>
    <t>LUVA DE CORRER P/TUBO SOLD.32MM</t>
  </si>
  <si>
    <t>LUVA DE CORRER P/TUBO SOLD.40MM</t>
  </si>
  <si>
    <t>LUVA DE CORRER P/TUBO SOLD.50MM</t>
  </si>
  <si>
    <t>LUVA DE CORRER P/TUBO SOLD.60MM</t>
  </si>
  <si>
    <t>LUVA RED. SOLD. 25 X 20MM</t>
  </si>
  <si>
    <t>LUVA RED. SOLD. 32 X 25MM</t>
  </si>
  <si>
    <t>LUVA RED. SOLD. 40 X 32MM</t>
  </si>
  <si>
    <t>LUVA RED. SOLD. 50 X 25MM</t>
  </si>
  <si>
    <t>TE SOLD - 20MM</t>
  </si>
  <si>
    <t>TE SOLD - 25MM</t>
  </si>
  <si>
    <t>TE SOLD - 32MM</t>
  </si>
  <si>
    <t>TE SOLD - 40MM</t>
  </si>
  <si>
    <t>TE SOLD - 50MM</t>
  </si>
  <si>
    <t>TE SOLD - 60MM</t>
  </si>
  <si>
    <t>TE SOLD - 75MM</t>
  </si>
  <si>
    <t>TE SOLD - 85MM</t>
  </si>
  <si>
    <t>TE SOLD - 110MM</t>
  </si>
  <si>
    <t>TE RED SOLD - 25 X 20MM</t>
  </si>
  <si>
    <t>TE RED SOLD - 32 X 25MM</t>
  </si>
  <si>
    <t>TE RED SOLD - 40 X 25MM</t>
  </si>
  <si>
    <t>TE RED SOLD - 40 X 32MM</t>
  </si>
  <si>
    <t>TE RED SOLD - 50 X 25MM</t>
  </si>
  <si>
    <t>TE RED SOLD - 50 X 32MM</t>
  </si>
  <si>
    <t>TE RED SOLD - 50 X 40MM</t>
  </si>
  <si>
    <t>TE RED SOLD - 75 X 50MM</t>
  </si>
  <si>
    <t>TE RED SOLD - 75 X 60MM</t>
  </si>
  <si>
    <t>UNIAO SOLD - 20MM</t>
  </si>
  <si>
    <t>UNIAO SOLD - 25MM</t>
  </si>
  <si>
    <t>UNIAO SOLD - 32MM</t>
  </si>
  <si>
    <t>UNIAO SOLD - 40MM</t>
  </si>
  <si>
    <t>UNIAO SOLD - 50MM</t>
  </si>
  <si>
    <t>UNIAO SOLD - 60MM</t>
  </si>
  <si>
    <t>UNIAO SOLD - 75MM</t>
  </si>
  <si>
    <t>UNIAO SOLD - 85MM</t>
  </si>
  <si>
    <t>UNIAO SOLD - 110MM</t>
  </si>
  <si>
    <t>JOELHO 90 SOLD E ROSCA (LR) 20MM X 1/2</t>
  </si>
  <si>
    <t>CONEXOES LR</t>
  </si>
  <si>
    <t>JOELHO 90 SOLD E ROSCA (LR) 25MM X 3/4</t>
  </si>
  <si>
    <t>JOELHO 90 SOLD E ROSCA (LR) 25MM X 1/2</t>
  </si>
  <si>
    <t>JOELHO 90 SOLD E ROSCA (LR) 32MM X 3/4</t>
  </si>
  <si>
    <t>LUVA SOLD E ROSCA (LR) 20MM X 1/2</t>
  </si>
  <si>
    <t>LUVA SOLD E ROSCA (LR) 25MM X 3/4</t>
  </si>
  <si>
    <t>LUVA SOLD E ROSCA (LR) 25MM X 1/2</t>
  </si>
  <si>
    <t>LUVA SOLD E ROSCA (LR) 32MM X 1</t>
  </si>
  <si>
    <t>LUVA SOLD E ROSCA (LR) 40MM X 1.1/4</t>
  </si>
  <si>
    <t>LUVA SOLD E ROSCA (LR) 50MM X 1.1/2</t>
  </si>
  <si>
    <t>TE SOLD E ROSCA (LR) 20MM X 1/2</t>
  </si>
  <si>
    <t>TE SOLD E ROSCA (LR) 25MM X 3/4</t>
  </si>
  <si>
    <t>TE SOLD E ROSCA (LR) 25MM X 1/2</t>
  </si>
  <si>
    <t>TE SOLD E ROSCA (LR) 32MM X 3/4</t>
  </si>
  <si>
    <t>JOELHO 90 SOLD C/BUCHA LATAO 20MM X 1/2</t>
  </si>
  <si>
    <t>CONEXOES SOLD.C/ BUCHA DE LATAO</t>
  </si>
  <si>
    <t>JOELHO 90 SOLD C/BUCHA LATAO 25MM X 3/4</t>
  </si>
  <si>
    <t>JOELHO 90 SOLD C/BUCHA LATAO 25MM X 1/2</t>
  </si>
  <si>
    <t>JOELHO 90 SOLD. C/ BUCHA LATAO 32MM X 3/4</t>
  </si>
  <si>
    <t>LUVA SOLD C/BUCHA LATAO 20MM X 1/2</t>
  </si>
  <si>
    <t>LUVA SOLD C/BUCHA LATAO 25MM X 3/4</t>
  </si>
  <si>
    <t>LUVA SOLD C/BUCHA LATAO 25MM X 1/2</t>
  </si>
  <si>
    <t>TE SOLD C/BUCHA LATAO 20MM X 1/2</t>
  </si>
  <si>
    <t>TE SOLD C/BUCHA LATAO 25MM X 3/4</t>
  </si>
  <si>
    <t>TE SOLD C/BUCHA LATAO 25MM X 1/2</t>
  </si>
  <si>
    <t>TE SOLD C/BUCHA LATAO 32MM X 3/4</t>
  </si>
  <si>
    <t>ADESIVO PLASTICO 17G.</t>
  </si>
  <si>
    <t>ADESIVOS PLASTICOS</t>
  </si>
  <si>
    <t>ADESIVO PLASTICO 75G.</t>
  </si>
  <si>
    <t>ADESIVO PLASTICO 175G C/ PINCEL</t>
  </si>
  <si>
    <t>ADESIVO FRASCO 850 G</t>
  </si>
  <si>
    <t>SOLUCAO PREPARADORA 200 ML</t>
  </si>
  <si>
    <t>SOLUCAO PREPARADORA 1000 ML</t>
  </si>
  <si>
    <t>ADESIVO PLASTICO 175G C/ PINCEL EXTRA FORTE</t>
  </si>
  <si>
    <t>ADESIVO FRASCO 850 G EXTRA FORTE</t>
  </si>
  <si>
    <t>REGISTRO ESFERA SOLD - 20MM</t>
  </si>
  <si>
    <t>REGISTROS ESFERA COMPACTO</t>
  </si>
  <si>
    <t>REGISTRO ESFERA SOLD - 25MM</t>
  </si>
  <si>
    <t>REGISTRO ESFERA SOLD - 32MM</t>
  </si>
  <si>
    <t>REGISTRO ESFERA SOLD - 40MM</t>
  </si>
  <si>
    <t>REGISTRO ESFERA SOLD - 50MM</t>
  </si>
  <si>
    <t>REGISTRO ESFERA SOLD - 60MM</t>
  </si>
  <si>
    <t>REGISTRO ESFERA SOLD - 75MM</t>
  </si>
  <si>
    <t>REGISTRO ESFERA SOLD - 85MM</t>
  </si>
  <si>
    <t>REGISTRO ESFERA SOLD - 110MM</t>
  </si>
  <si>
    <t>REGISTRO ESFERA ROSCAVEL - 1/2</t>
  </si>
  <si>
    <t>REGISTRO ESFERA ROSCAVEL - 3/4</t>
  </si>
  <si>
    <t>REGISTRO ESFERA ROSCAVEL - 1</t>
  </si>
  <si>
    <t>REGISTRO ESFERA ROSCAVEL - 1.1/4</t>
  </si>
  <si>
    <t>REGISTRO ESFERA ROSCAVEL - 1.1/2</t>
  </si>
  <si>
    <t>REGISTRO ESFERA ROSCAVEL - 2</t>
  </si>
  <si>
    <t>REGISTRO ESFERA ROSCAVEL - 2.1/2</t>
  </si>
  <si>
    <t>REGISTRO ESFERA ROSCAVEL - 3</t>
  </si>
  <si>
    <t>REGISTRO ESFERA ROSCAVEL - 4</t>
  </si>
  <si>
    <t>REGISTRO ESF.SOLD.C/ UNIAO - 20MM</t>
  </si>
  <si>
    <t>REGISTROS ESFERA C/UNIAO</t>
  </si>
  <si>
    <t>REGISTRO ESF.SOLD.C/ UNIAO - 25MM</t>
  </si>
  <si>
    <t>REGISTRO ESF.SOLD.C/ UNIAO - 32MM</t>
  </si>
  <si>
    <t>REGISTRO ESF.SOLD.C/ UNIAO - 40MM</t>
  </si>
  <si>
    <t>REGISTRO ESF.SOLD.C/ UNIAO - 50MM</t>
  </si>
  <si>
    <t>REGISTRO ESF.SOLD.C/ UNIAO - 60MM</t>
  </si>
  <si>
    <t>REGISTRO PRESSAO SOLDAVEL BRANCO - 20MM</t>
  </si>
  <si>
    <t>REGISTROS PRESSAO</t>
  </si>
  <si>
    <t>REGISTRO PRESSAO SOLDAVEL BRANCO - 25MM</t>
  </si>
  <si>
    <t>REPARO P/REGISTRO PRESSAO BRANCO</t>
  </si>
  <si>
    <t>REGISTRO ESF.ROSC.C/ UNIAO - 1/2</t>
  </si>
  <si>
    <t>REGISTRO ESF.ROSC.C/ UNIAO - 3/4</t>
  </si>
  <si>
    <t>REGISTRO ESF.ROSC.C/ UNIAO - 1</t>
  </si>
  <si>
    <t>REGISTRO ESF.ROSC.C/ UNIAO - 1 1/4</t>
  </si>
  <si>
    <t>REGISTRO ESF.ROSC.C/ UNIAO - 1.1/2</t>
  </si>
  <si>
    <t>REGISTRO ESF.ROSC.C/ UNIAO - 2</t>
  </si>
  <si>
    <t>REGISTRO ESFERA C/ROSCA EXT. - 1/2</t>
  </si>
  <si>
    <t>REGISTROS ESFERA ROSCA EXT.</t>
  </si>
  <si>
    <t>REGISTRO ESFERA C/ROSCA EXT. - 3/4</t>
  </si>
  <si>
    <t>REGISTRO PRESSAO SOLDAVEL - 20MM</t>
  </si>
  <si>
    <t>REGISTRO PRESSAO SOLDAVEL - 25MM</t>
  </si>
  <si>
    <t>REGISTRO ESFERA C/ CABECA QUADRADA 1/2</t>
  </si>
  <si>
    <t>REGISTRO ESFERA C/ CABECA QUADRADA 3/4</t>
  </si>
  <si>
    <t>REPARO P/REGISTRO PRESSAO</t>
  </si>
  <si>
    <t>LUVA RED. SOLD. 60 X 50MM</t>
  </si>
  <si>
    <t>LUVA RED. SOLD. 75 X 60MM</t>
  </si>
  <si>
    <t>LUVA RED. SOLD. 110 X 75MM</t>
  </si>
  <si>
    <t>BUCHA RED.LONGA P/ESGOTO DN 50 X 40</t>
  </si>
  <si>
    <t>CONEXOES ESGOTO SECUNDARIO</t>
  </si>
  <si>
    <t>CAP ESGOTO SEC.   - DN 40</t>
  </si>
  <si>
    <t>CAP ESGOTO PRIM. - DN 50</t>
  </si>
  <si>
    <t>CONEXOES ESGOTO PRIMARIO</t>
  </si>
  <si>
    <t>CAP ESGOTO PRIM. - DN 75</t>
  </si>
  <si>
    <t>CAP ESGOTO PRIM. - DN 100</t>
  </si>
  <si>
    <t>CAP ESGOTO PRIM. - DN 150</t>
  </si>
  <si>
    <t>CONEXOES ESGOSTO 150/200</t>
  </si>
  <si>
    <t>CAP ESGOTO PRIM. - DN 200</t>
  </si>
  <si>
    <t>CURVA 90 CURTA P/ESG.SEC - DN 40</t>
  </si>
  <si>
    <t>CURVA 90 CURTA P/ESG.PRIM - DN 50</t>
  </si>
  <si>
    <t>CURVA 90 CURTA P/ESG.PRIM - DN 75</t>
  </si>
  <si>
    <t>CURVA 90 CURTA P/ESG.PRIM - DN 100</t>
  </si>
  <si>
    <t>CURVA 45 ESG. LONGA DN 40</t>
  </si>
  <si>
    <t>CONEXOES ESGOTO SECUNDARIO/REVENDA</t>
  </si>
  <si>
    <t>CURVA 45 ESG. LONGA DN 50</t>
  </si>
  <si>
    <t>CONEXOES ESGOTO PRIMARIO/REVENDA</t>
  </si>
  <si>
    <t>CURVA 45 ESG. LONGA DN 75</t>
  </si>
  <si>
    <t>CURVA 45 ESG. LONGA DN 100</t>
  </si>
  <si>
    <t>CURVA 45 ESG. LONGA DN 150</t>
  </si>
  <si>
    <t>CONEXOES ESGOTO 150/200/ REVENDA</t>
  </si>
  <si>
    <t>JOELHO 45 ESGOTO SEC - DN 40</t>
  </si>
  <si>
    <t>JOELHO 45 ESGOTO PRIM - DN 50</t>
  </si>
  <si>
    <t>JOELHO 45 ESGOTO PRIM - DN 75</t>
  </si>
  <si>
    <t>JOELHO 45 ESGOTO PRIM - DN 100</t>
  </si>
  <si>
    <t>JOELHO 45 ESGOTO PRIM - DN 150</t>
  </si>
  <si>
    <t>JOELHO 90 ESGOTO SEC.  - DN 40</t>
  </si>
  <si>
    <t>JOELHO 90 ESGOTO PRIM - DN 50</t>
  </si>
  <si>
    <t>JOELHO 90 ESGOTO PRIM - DN 75</t>
  </si>
  <si>
    <t>JOELHO 90 ESGOTO PRIM - DN 100</t>
  </si>
  <si>
    <t>JOELHO 90 ESGOTO PRIM - DN 150</t>
  </si>
  <si>
    <t>JOELHO 90 C/VIS ESGOTO PRIM - DN 100X50</t>
  </si>
  <si>
    <t>JOELHO 90 BRANCO C/ANEL - DN 40 X 40</t>
  </si>
  <si>
    <t>JOELHO AZUL 90 C/VEDACAO - DN 38 X 40</t>
  </si>
  <si>
    <t>JUNCAO 45 SIMPLES P/ESGOTO SEC.  - DN 40MM</t>
  </si>
  <si>
    <t>JUNCAO 45 SIMPLES P/ESGOTO PRIM - DN 50X50</t>
  </si>
  <si>
    <t>JUNCAO 45 SIMPLES P/ESGOTO PRIM - DN 75X75</t>
  </si>
  <si>
    <t>JUNCAO 45 SIMPLES P/ESGOTO PRIM - DN 100X100</t>
  </si>
  <si>
    <t>JUNCAO 45 SIMPLES P/ESGOTO PRIM - DN 150X150</t>
  </si>
  <si>
    <t>CURVA 90 ESG. LONGA DN 40</t>
  </si>
  <si>
    <t>CURVA 90 ESG. LONGA DN 50</t>
  </si>
  <si>
    <t>CURVA 90 ESG. LONGA DN 75</t>
  </si>
  <si>
    <t>CURVA 90 ESG. LONGA DN 100</t>
  </si>
  <si>
    <t>CURVA 90 ESG. LONGA DN 150</t>
  </si>
  <si>
    <t>JUNCAO RED.45 SIMPLES P/ESG.PRIM - DN 75X50</t>
  </si>
  <si>
    <t>JUNCAO RED.45 SIMPLES P/ESG.PRIM - DN 100X50</t>
  </si>
  <si>
    <t>JUNCAO RED.45 SIMPLES P/ESG.PRIM - DN 100X75</t>
  </si>
  <si>
    <t>JUNCAO RED.45 SIMPLES P/ESG.PRIM - DN 150X100</t>
  </si>
  <si>
    <t>LUVA ESGOTO SEC. - DN 40</t>
  </si>
  <si>
    <t>LUVA ESGOTO PRIM. - DN 50</t>
  </si>
  <si>
    <t>LUVA ESGOTO PRIM. - DN 75</t>
  </si>
  <si>
    <t>LUVA ESGOTO PRIM. - DN 100</t>
  </si>
  <si>
    <t>LUVA ESGOTO PRIM. - DN 150</t>
  </si>
  <si>
    <t>LUVA DE CORRER P/TUBO ESG - DN 40</t>
  </si>
  <si>
    <t>LUVA DE CORRER P/TUBO ESG - DN 50</t>
  </si>
  <si>
    <t>LUVA DE CORRER P/TUBO ESG - DN 75</t>
  </si>
  <si>
    <t>LUVA DE CORRER P/TUBO ESG - DN 100</t>
  </si>
  <si>
    <t>LUVA DE CORRER P/TUBO ESG - DN 150</t>
  </si>
  <si>
    <t>REDUCAO EXCENTRICA ESGOTO PRIM - DN   75X50</t>
  </si>
  <si>
    <t>REDUCAO EXCENTRICA ESGOTO PRIM - DN 100X50</t>
  </si>
  <si>
    <t>REDUCAO EXCENTRICA ESGOTO PRIM - DN 100X75</t>
  </si>
  <si>
    <t>REDUCAO EXCENTRICA ESGOTO PRIM - DN 150X100</t>
  </si>
  <si>
    <t>TE ESGOTO SEC. - DN 40</t>
  </si>
  <si>
    <t>TE ESGOTO PRIM. - DN 50X50</t>
  </si>
  <si>
    <t>TE ESGOTO PRIM. - DN 75X75</t>
  </si>
  <si>
    <t>TE ESGOTO PRIM. - DN 100X100</t>
  </si>
  <si>
    <t>TE ESGOTO PRIM. - DN 150X150</t>
  </si>
  <si>
    <t>TE REDUCAO P/ESGOTO PRIM - DN 75X50</t>
  </si>
  <si>
    <t>TE REDUCAO P/ESGOTO PRIM - DN 100X50</t>
  </si>
  <si>
    <t>TE REDUCAO P/ESGOTO PRIM - DN 100X75</t>
  </si>
  <si>
    <t>TE REDUCAO P/ESGOTO PRIM - DN 150X100</t>
  </si>
  <si>
    <t>VALVULA DE RETENCAO DE ESGOTO DN 100</t>
  </si>
  <si>
    <t>VALVULAS DE RETENCAO PARA ESGOTO</t>
  </si>
  <si>
    <t>VALVULA DE RETENCAO DE ESGOTO DN 150</t>
  </si>
  <si>
    <t>ANEL DE VEDACAO P/ESG. DN 40</t>
  </si>
  <si>
    <t>ANEIS VEDACAO P/ESGOTO</t>
  </si>
  <si>
    <t>ANEL DE VEDACAO P/ESG. DN 50</t>
  </si>
  <si>
    <t>ANEL DE VEDACAO P/ESG. DN 75</t>
  </si>
  <si>
    <t>ANEL DE VEDACAO P/ESG. DN 100</t>
  </si>
  <si>
    <t>ANEL DE VEDACAO P/ESG. DN 150</t>
  </si>
  <si>
    <t>PASTA LUBRIFICANTE 160 G</t>
  </si>
  <si>
    <t>PASTA LUBRIFICANTE 400 G</t>
  </si>
  <si>
    <t>PASTA LUBRIFICANTE 1 KG</t>
  </si>
  <si>
    <t>ANEL DE VEDACAO P/ESG. DN 200</t>
  </si>
  <si>
    <t>ASSENTO SANITARIO PREMIER BRANCO</t>
  </si>
  <si>
    <t>ACESSORIOS KRONA</t>
  </si>
  <si>
    <t>ASSENTOS SANITARIOS</t>
  </si>
  <si>
    <t>ASSENTO SANITARIO PREMIER CARAMELO</t>
  </si>
  <si>
    <t>ASSENTO SANITARIO PREMIER CINZA CLARO</t>
  </si>
  <si>
    <t>ASSENTO SANITARIO PREMIER BEGE</t>
  </si>
  <si>
    <t>JUNCAO RED INVERTIDA ESGOTO PRIM. - DN 75X50</t>
  </si>
  <si>
    <t>JUNCAO RED INVERTIDA ESGOTO PRIM. - DN 100X50</t>
  </si>
  <si>
    <t>JUNCAO RED INVERTIDA ESGOTO PRIM. - DN 100X75</t>
  </si>
  <si>
    <t>JUNCAO INVERTIDA ESGOTO PRIM. - DN 75X75</t>
  </si>
  <si>
    <t>JUNCAO DUPLA ESGOTO PRIM - DN 75X75</t>
  </si>
  <si>
    <t>JUNCAO INVERTIDA ESGOTO PRIM. - DN 100X100</t>
  </si>
  <si>
    <t>JUNCAO DUPLA ESGOTO PRIM - DN 100X100</t>
  </si>
  <si>
    <t>JOELHO 45 ESGOTO PRIM - DN 200</t>
  </si>
  <si>
    <t>JOELHO 90 ESGOTO PRIM - DN 200</t>
  </si>
  <si>
    <t>JUNCAO 45 SIMPLES P/ESGOTO PRIM - DN 200X200</t>
  </si>
  <si>
    <t>LUVA ESGOTO PRIM. - DN 200</t>
  </si>
  <si>
    <t>LUVA DE CORRER P/TUBO ESG - DN 200</t>
  </si>
  <si>
    <t>REDUCAO EXCENTRICA ESGOTO PRIM - DN 200X150</t>
  </si>
  <si>
    <t>TE ESGOTO PRIM. - DN 200X200</t>
  </si>
  <si>
    <t>TORNEIRA BOIA PARA CAIXA D AGUA 1/2 E 3/4</t>
  </si>
  <si>
    <t>TORNEIRAS BOIA</t>
  </si>
  <si>
    <t>TE DE INSPECAO ESGOTO DN 100 X 75</t>
  </si>
  <si>
    <t>CURVA 45 ESG. CURTA DN 100</t>
  </si>
  <si>
    <t>TORNEIRA BOIA PARA CAIXA D AGUA 1/2</t>
  </si>
  <si>
    <t>TORNEIRA BOIA PARA CAIXA D AGUA 3/4</t>
  </si>
  <si>
    <t>TORNEIRA BOIA PARA BEBEDOURO 1/2</t>
  </si>
  <si>
    <t>ADAPTADOR N1 P/VALV PIA/LAV DN 40</t>
  </si>
  <si>
    <t>VALVULAS P/ PIA E LAVATORIO</t>
  </si>
  <si>
    <t>ADAPTADOR N2 P/VALV PIA/LAV DN 40</t>
  </si>
  <si>
    <t>ENGATE PLASTICO 30CM X 1/2</t>
  </si>
  <si>
    <t>ENGATES</t>
  </si>
  <si>
    <t>ENGATE PLASTICO 40CM X 1/2</t>
  </si>
  <si>
    <t>ENGATE PLASTICO 50CM X 1/2</t>
  </si>
  <si>
    <t>ENGATE PLASTICO 60CM X 1/2</t>
  </si>
  <si>
    <t>ENGATE PLASTICO 1METRO X 1/2</t>
  </si>
  <si>
    <t>KIT CHUVEIRO FRIO</t>
  </si>
  <si>
    <t>CHUVEIRO</t>
  </si>
  <si>
    <t>HASTE PARA CHUVEIRO FRIO</t>
  </si>
  <si>
    <t>HASTE PARA CHUVEIRO</t>
  </si>
  <si>
    <t>HASTE PARA CHUVEIRO ELETRICO</t>
  </si>
  <si>
    <t>PARAFUSO FIXACAO ASSENTO SANITARIO BRANCO</t>
  </si>
  <si>
    <t>KIT ACESSORIOS P/ BANHEIRO</t>
  </si>
  <si>
    <t>PARAFUSO FIXACAO ASSENTO SANITARIO CARAMELO</t>
  </si>
  <si>
    <t>PARAFUSO FIXACAO ASSENTO SANITARIO CINZA CL</t>
  </si>
  <si>
    <t>PARAFUSO FIXACAO ASSENTO SANITARIO BEGE</t>
  </si>
  <si>
    <t>TORNEIRA ESF.P/JARDIM/TANQUE - 1/2 E 3/4</t>
  </si>
  <si>
    <t>TORNEIRAS ESFERA P/JARDIM /TANQUE</t>
  </si>
  <si>
    <t>TORNEIRA PARA JARDIM SLIM - PRETA/PRETA</t>
  </si>
  <si>
    <t>TORNEIRAS</t>
  </si>
  <si>
    <t>TORNEIRA PARA PIA SLIM - BRANCA/PRETA</t>
  </si>
  <si>
    <t>TORNEIRA PARA TANQUE SLIM - BRANCA/PRETA</t>
  </si>
  <si>
    <t>TUBO P/CX.DESC.LONGO C/CURVA</t>
  </si>
  <si>
    <t>TUBOS DESCIDA</t>
  </si>
  <si>
    <t>TUBO P/CX.DESC.CURTO C/CURVA</t>
  </si>
  <si>
    <t>TUBO DESCIDA DE EMBUTIR C/CURVA P/CX.DESCARGA</t>
  </si>
  <si>
    <t>TUBO DE DESCIDA P/VALV.DESCARGA C/JOELHO AZUL</t>
  </si>
  <si>
    <t>CURVA P/TUBO DE DESCIDA DA CX.DE DESCARGA</t>
  </si>
  <si>
    <t>ESPUDE P/VASO SANITARIO</t>
  </si>
  <si>
    <t>ESPUDE</t>
  </si>
  <si>
    <t>V1 - VALVULA P/PIA C/UNHO</t>
  </si>
  <si>
    <t>V2 - VALVULA P/PIA</t>
  </si>
  <si>
    <t>V3 - VALVULA P/PIA (CORPO E TAMPA)</t>
  </si>
  <si>
    <t>V5 - VALVULA P/LAVATORIO C/LADRAO E UNHO</t>
  </si>
  <si>
    <t>V6 - VALVULA P/LAVATORIO C/LADRAO</t>
  </si>
  <si>
    <t>V7 - VALVULA P/LAVATORIO E TANQUE C/UNHO</t>
  </si>
  <si>
    <t>V8 - VALVULA P/LAVATORIO E TANQUE</t>
  </si>
  <si>
    <t>V9 - VALVULA P/ TANQUE 1.1/2</t>
  </si>
  <si>
    <t>V10 - VALVULA P/ TANQUE DN 40</t>
  </si>
  <si>
    <t>T1-TAMPA P/VALVULA PIA E LAVAT.</t>
  </si>
  <si>
    <t>T2-TAMPA P/VALVULA DE TANQUE</t>
  </si>
  <si>
    <t>U1 - UNHO COMPLETO P/VALVULA PIA E LAVATORIO</t>
  </si>
  <si>
    <t>LAVATORIO KRONA - BRANCO 36 X 26 CM</t>
  </si>
  <si>
    <t>LAVATORIOS</t>
  </si>
  <si>
    <t>KIT PORTINHOLA P/VALVULA RETENCAO DN100</t>
  </si>
  <si>
    <t>KIT PORTINHOLA P/VALVULA RETENCAO DN150</t>
  </si>
  <si>
    <t>KIT TAMPA P/VALVULA RETENCAO DN100</t>
  </si>
  <si>
    <t>KIT TAMPA P/VALVULA RETENCAO DN150</t>
  </si>
  <si>
    <t>KIT SIFAO PARA CAIXA SIFONADA DN100</t>
  </si>
  <si>
    <t>KIT SIFAO PARA CAIXA SIFONADA DN150</t>
  </si>
  <si>
    <t>MULTISIFAO LONGO (TUBO EXTENSIVEL) 1500MM</t>
  </si>
  <si>
    <t>SIFOES</t>
  </si>
  <si>
    <t>MULTISIFAO SIMPLES (TUBO EXTENSIVEL)</t>
  </si>
  <si>
    <t>MULTISIFAO DUPLO (TUBO EXTENSIVEL)</t>
  </si>
  <si>
    <t>MULTISIFAO SIMPLES (TUBO EXTENSIVEL) COM 48</t>
  </si>
  <si>
    <t>TE RED SOLD - 85 X 60MM</t>
  </si>
  <si>
    <t>TE RED SOLD - 110 X 60MM</t>
  </si>
  <si>
    <t>TE RED SOLD - 110 X 75MM</t>
  </si>
  <si>
    <t>TE RED SOLD - 60 X 25MM</t>
  </si>
  <si>
    <t>LUVA DE CORRER ROSCAVEL 1/2</t>
  </si>
  <si>
    <t>LUVA DE CORRER ROSCAVEL 3/4</t>
  </si>
  <si>
    <t>CX.SIFONADA NR.05 QUAD.BRANCA 100 X 100 X 50</t>
  </si>
  <si>
    <t>CAIXAS E RALOS</t>
  </si>
  <si>
    <t>CX.SIFONADA NR.07 RED.BRANCA   100 X 100 X 50</t>
  </si>
  <si>
    <t>CX.SIFONADA NR.09 QUAD.BRANCA 100 X 150 X 50</t>
  </si>
  <si>
    <t>CX. SIFONADA NR.11 RED. BRANCA 100X150X50</t>
  </si>
  <si>
    <t>CX.SIF.NR.13 C/GRELHA QUADR.BR.150 X 150 X 50</t>
  </si>
  <si>
    <t>CX.SIF.NR.15 C/GRELHA RED.BR.150 X 150 X 50</t>
  </si>
  <si>
    <t>CX.SIF.NR.17 C/GRELHA QUADR.BR.150 X 185 X 75</t>
  </si>
  <si>
    <t>CX.SIF.NR.19 C/GRELHA RED.BR.150 X 185 X 75</t>
  </si>
  <si>
    <t>RALO SIF.N.37 RED.C/ GRELHA RED.100 X 38 X 40</t>
  </si>
  <si>
    <t>CX.SIF. NR.21 QUAD. DN 250 X 172 X 50</t>
  </si>
  <si>
    <t>CX.SIF. NR.22 QUAD. DN 250 X 230 X 75</t>
  </si>
  <si>
    <t>CX.SIF. NR.23 RED. DN 250 X 172 X 50</t>
  </si>
  <si>
    <t>CX.SIF. NR.24 RED. DN 250 X 230 X 75</t>
  </si>
  <si>
    <t>CORPO CAIXA SIFONADA NR.28 100 X 100 X 50</t>
  </si>
  <si>
    <t>CORPO CAIXA SIFONADA NR.31 150 X 150 X 50</t>
  </si>
  <si>
    <t>CORPO CX. SIFONADA NR.32 100X150X50</t>
  </si>
  <si>
    <t>RALO SIFONADO QUADR.NR.43 BR. 100 X 52 X 40</t>
  </si>
  <si>
    <t>GRELHA NR.50 QUADR.BR.P/CX.SIFONADA 100</t>
  </si>
  <si>
    <t>GRELHA NR.51 QUADR.CROMADA CX.SIF.100</t>
  </si>
  <si>
    <t>CAIXAS E RALOS / REVENDA</t>
  </si>
  <si>
    <t>GRELHA NR.52 QUADR.BRANCA       CX.SIF.150</t>
  </si>
  <si>
    <t>GRELHA NR.53 QUADR.CROMADA    CX.SIF.150</t>
  </si>
  <si>
    <t>GRELHA NR.54 REDONDA BRANCA CX.SIF.100</t>
  </si>
  <si>
    <t>GRELHA NR.55 REDONDA CROMADA  CX.SIF.100</t>
  </si>
  <si>
    <t>GRELHA NR.56 REDONDA BRANCA CX.SIF.150</t>
  </si>
  <si>
    <t>GRELHA NR.57 REDONDA CROMADA  CX.SIF.150</t>
  </si>
  <si>
    <t>PORTA GRELHA NR.58 QUADR.BRANCA  CX.SIF. 100</t>
  </si>
  <si>
    <t>PORTA GRELHA NR.60 QUADR.CROMADO CX.SIF.100</t>
  </si>
  <si>
    <t>PORTA GRELHA NR.61 QUADR.BRANCA .CX.SIF.150</t>
  </si>
  <si>
    <t>PORTA GRELHA NR.63 QUADR.CROMADO CX.SIF.150</t>
  </si>
  <si>
    <t>PORTA GRELHA NR.64 RED.BR.CX.SIF.100X100X50</t>
  </si>
  <si>
    <t>PORTA GRELHA NR.66 RED.CROMADO CX.SIF.100</t>
  </si>
  <si>
    <t>PORTA GRELHA NR.67 RED.BR.CX.SIF.150X150X50</t>
  </si>
  <si>
    <t>PORTA GRELHA NR.69 RED.CROMADO CX.SIF.150</t>
  </si>
  <si>
    <t>PORTA GRELHA RED.NR.70 CX 250</t>
  </si>
  <si>
    <t>PORTA GRELHA QUAD.NR.71 CX 250</t>
  </si>
  <si>
    <t>TAMPA REDONDA NR.72 P/ CX SIF.250</t>
  </si>
  <si>
    <t>VALVULA P/POCO C/FILTRO - 3/4</t>
  </si>
  <si>
    <t>VALVULAS P/ POCO COM FILTRO</t>
  </si>
  <si>
    <t>VALVULA P/POCO C/FILTRO - 1</t>
  </si>
  <si>
    <t>VALVULA P/POCO C/FILTRO - 1.1/2</t>
  </si>
  <si>
    <t>VALVULA P/POCO C/FILTRO - 2</t>
  </si>
  <si>
    <t>PROLONGAMENTO DN 250 X 200MM</t>
  </si>
  <si>
    <t>PROLONGAMENTOS P/ CAIXA SIFONADA</t>
  </si>
  <si>
    <t>PROLONGAMENTO CAIXA SIFONADA DN 150 X 150MM</t>
  </si>
  <si>
    <t>PROLONGAMENTO CAIXA SIFONADA DN 150 X 200MM</t>
  </si>
  <si>
    <t>CORPO CAIXA SIFONADA NR.33 150 X 185 X 75</t>
  </si>
  <si>
    <t>CORPO CAIXA SIFONADA NR.34 250 X 172 X 50</t>
  </si>
  <si>
    <t>CORPO CAIXA SIFONADA NR.35 250 X 230 X 75</t>
  </si>
  <si>
    <t>CAIXA SIF QUADRADA CROM 7 ENTRADAS 150X150X50</t>
  </si>
  <si>
    <t>CAIXA SIF REDONDA CROM 7 ENTRADAS 150X150X50</t>
  </si>
  <si>
    <t>CAIXA SIF QUADRADA CROM 3 ENTRADAS 100X100X50</t>
  </si>
  <si>
    <t>CAIXA SIF REDONDA CROM 3 ENTRADAS 100X100X50</t>
  </si>
  <si>
    <t>JOGO ESGUICHO P/MANG.1/2 - 3/4 AMARELO/PRETO</t>
  </si>
  <si>
    <t>ESGUICHOS</t>
  </si>
  <si>
    <t>TUBO ELETRODUTO ROSC.ANTICHAMA -    1/2</t>
  </si>
  <si>
    <t>TUBOS ELETRODUTOS KRONA</t>
  </si>
  <si>
    <t>TUBOS ELETRODUTO RIGIDOS</t>
  </si>
  <si>
    <t>TUBO ELETRODUTO ROSC.ANTICHAMA -    3/4</t>
  </si>
  <si>
    <t>TUBO ELETRODUTO ROSC.ANTICHAMA -     1</t>
  </si>
  <si>
    <t>TUBO ELETRODUTO ROSC.ANTICHAMA - 1.1/4</t>
  </si>
  <si>
    <t>TUBO ELETRODUTO ROSC.ANTICHAMA - 1.1/2</t>
  </si>
  <si>
    <t>TUBO ELETRODUTO ROSC.ANTICHAMA -     2</t>
  </si>
  <si>
    <t>TUBO ELETRODUTO ROSC.ANTICHAMA -     3</t>
  </si>
  <si>
    <t>TUBO ELETRODUTO ROSC.ANTICHAMA -     4</t>
  </si>
  <si>
    <t>TUBO ELETRODUTO ROSC.ANTICHAMA -     2.1/2</t>
  </si>
  <si>
    <t>CURVA 90 R.CURTO P/ELETRODUTO ROSC. 1/2</t>
  </si>
  <si>
    <t>CONEXOES ELETRODUTO RIGIDOS</t>
  </si>
  <si>
    <t>CURVA 90 R.CURTO P/ELETRODUTO ROSC. 3/4</t>
  </si>
  <si>
    <t>CURVA 90 R.CURTO P/ELETRODUTO ROSC. 1</t>
  </si>
  <si>
    <t>CURVA 90 R.CURTO P/ELETRODUTO ROSC. 1.1/4</t>
  </si>
  <si>
    <t>CURVA 90° CURTA ELETRODUTO ROSCAVEL 1.1/2</t>
  </si>
  <si>
    <t>CURVA 90 R.LONGO P/ELETRODUTO ROSC. 1/2</t>
  </si>
  <si>
    <t>CURVA 90 R.LONGO P/ELETRODUTO ROSC. 3/4</t>
  </si>
  <si>
    <t>CURVA 90 R.LONGO P/ELETRODUTO ROSC. 1</t>
  </si>
  <si>
    <t>CURVA 90 R.LONGO P/ELETRO ROSC. 1.1/4</t>
  </si>
  <si>
    <t>CONEXOES ELETRODUTO RIGIDO/REVENDA</t>
  </si>
  <si>
    <t>CURVA 90 PARA ELETRODUTO ROSCAVEL DE 1 1/2</t>
  </si>
  <si>
    <t>CURVA 90º PARA ELETRODUTO ROSCAVEL 2</t>
  </si>
  <si>
    <t>CURVA 90º PARA ELETRODUTO ROSCAVEL 2.1/2</t>
  </si>
  <si>
    <t>CURVA 90º PARA ELETRODUTO ROSCAVEL 3</t>
  </si>
  <si>
    <t>CURVA 90º PARA ELETRODUTO ROSCAVEL 4</t>
  </si>
  <si>
    <t>CURVA 135 P/ELETRODUTO ROSC. 3/4</t>
  </si>
  <si>
    <t>CURVA 135 P/ELETRODUTO ROSC. 1</t>
  </si>
  <si>
    <t>CURVA 180 P/ELETRODUTO ROSC. 3/4</t>
  </si>
  <si>
    <t>CURVA 180 P/ELETRODUTO ROSC. 1</t>
  </si>
  <si>
    <t>TERMINAL VENTILAÇÃO ESGOTO DN50</t>
  </si>
  <si>
    <t>TERMINAL VENTILAÇÃO ESGOTO DN75</t>
  </si>
  <si>
    <t>TERMINAL VENTILAÇÃO ESGOTO DN100</t>
  </si>
  <si>
    <t>LUVA P/ELETRODUTO ROSC. 1/2</t>
  </si>
  <si>
    <t>LUVA P/ELETRODUTO ROSC. 3/4</t>
  </si>
  <si>
    <t>LUVA P/ELETRODUTO ROSC. 1</t>
  </si>
  <si>
    <t>LUVA P/ELETRODUTO ROSC. 1.1/4</t>
  </si>
  <si>
    <t>LUVA P/ELETRODUTO ROSC. 1.1/2</t>
  </si>
  <si>
    <t>LUVA P/ELETRODUTO ROSC. 2</t>
  </si>
  <si>
    <t>LUVA P/ELETRODUTO ROSC. 3</t>
  </si>
  <si>
    <t>LUVA P/ELETRODUTO ROSC. 4</t>
  </si>
  <si>
    <t>TUBO ELETRODUTO PVC RIGIDO SOLDAVEL 20MM</t>
  </si>
  <si>
    <t>TUBO ELETRODUTO PVC RIGIDO SOLDAVEL 25MM</t>
  </si>
  <si>
    <t>TUBO ELETRODUTO PVC RIGIDO SOLDAVEL 32MM</t>
  </si>
  <si>
    <t>LUVA P/ELETRODUTO SOLDAVEL 20MM</t>
  </si>
  <si>
    <t>LUVA P/ELETRODUTO SOLDAVEL 25MM</t>
  </si>
  <si>
    <t>CURVA 90 P/ELETRODUTO SOLD.20MM</t>
  </si>
  <si>
    <t>CURVA 90 P/ELETRODUTO SOLD.25MM</t>
  </si>
  <si>
    <t>CURVA 90 P/ELETRODUTO SOLD.32MM</t>
  </si>
  <si>
    <t>ELETROD. PVC FLEX CORRUGADO 20MM - 10 METROS</t>
  </si>
  <si>
    <t>ELETRODUTOS CORRUGADOS KRONA</t>
  </si>
  <si>
    <t>TUBOS ELETRODUTO CORRUGADO</t>
  </si>
  <si>
    <t>ELETROD. PVC FLEX CORRUGADO 20MM - 25 METROS</t>
  </si>
  <si>
    <t>ELETROD. PVC FLEX CORRUGADO 25MM - 10 METROS</t>
  </si>
  <si>
    <t>ELETROD. PVC FLEX CORRUGADO 25MM - 25 METROS</t>
  </si>
  <si>
    <t>ELETROD. PVC FLEX CORRUGADO 32MM - 10 METROS</t>
  </si>
  <si>
    <t>ELETRODUTO DE PVC FLEX CORRUGADO 20MM - 50 MT</t>
  </si>
  <si>
    <t>ELETRODUTO DE PVC FLEX CORRUGADO 25MM - 50 MT</t>
  </si>
  <si>
    <t>ELETRODUTO DE PVC FLEX CORRUGADO 32MM - 25 MT</t>
  </si>
  <si>
    <t>ELETROD PVC FLEX CORRUG REFORCADO 20MM 50 MT</t>
  </si>
  <si>
    <t>ELETROD PVC FLEX CORRUG REFORCADO 25MM 50 MT</t>
  </si>
  <si>
    <t>ELETROD PVC FLEX CORRUG REFORCADO 32MM 25 MT</t>
  </si>
  <si>
    <t>LUVA PRESSAO P/ ELETR.CORRUGADO AMARELO 20MM</t>
  </si>
  <si>
    <t>CONEXOES ELETRODUTO CORRUGADO</t>
  </si>
  <si>
    <t>LUVA PRESSAO P/ ELETR.CORRUGADO AMARELO 25MM</t>
  </si>
  <si>
    <t>LUVA PRESSAO P/ ELETR.CORRUGADO AMARELO 32MM</t>
  </si>
  <si>
    <t>LUVA PRESSAO P/ELETR.CORRUGADO REFORCADO 20MM</t>
  </si>
  <si>
    <t>LUVA PRESSAO P/ELETR.CORRUGADO REFORCADO 25MM</t>
  </si>
  <si>
    <t>LUVA PRESSAO P/ELETR.CORRUGADO REFORCADO 32MM</t>
  </si>
  <si>
    <t>CAIXA DE LUZ OCTOGONAL REFORCADO 4X4</t>
  </si>
  <si>
    <t>CAIXAS DE LUZ</t>
  </si>
  <si>
    <t>CAIXA DE LUZ OCTOGONAL 4X4</t>
  </si>
  <si>
    <t>CAIXA DE CENTRO P/LAJE 250</t>
  </si>
  <si>
    <t>CAIXA DE CENTRO P/LAJE 300</t>
  </si>
  <si>
    <t>PROLONGADOR PARA CAIXA OCTOGONAL</t>
  </si>
  <si>
    <t>PROLONGADOR PARA CAIXA OCTOGONAL REFORCADO</t>
  </si>
  <si>
    <t>CAIXA DE LUZ P/ELETR. FLEXIVEL CORRUGADO 4X2</t>
  </si>
  <si>
    <t>CAIXA DE LUZ P/ELETR. FLEXIVEL CORRUGADO 4X4</t>
  </si>
  <si>
    <t>QUADRO DISTR 4D/3N EMBUTIR</t>
  </si>
  <si>
    <t>QUADRO DE DISTRIBUICAO</t>
  </si>
  <si>
    <t>QUADRO DISTR 8D/6N EMBUTIR SEM BARRAMENTO</t>
  </si>
  <si>
    <t>QUADRO DISTR 12D/9N EMBUTIR SEM BARRAMENTO</t>
  </si>
  <si>
    <t>QUADRO DISTR 16D/11N EMBUTIR SEM BARRAMENTO</t>
  </si>
  <si>
    <t>QUADRO DISTR 24D/18N EMBUTIR SEM BARRAMENTO</t>
  </si>
  <si>
    <t>QUADRO DISTR 36D/27N EMBUTIR SEM BARRAMENTO</t>
  </si>
  <si>
    <t>QUADRO DISTR 8D/6N EMBUTIR COM BARRAMENTO</t>
  </si>
  <si>
    <t>QUADRO DISTR 12D/9N EMBUTIR COM BARRAMENTO</t>
  </si>
  <si>
    <t>QUADRO DISTR 16D/11N EMBUTIR COM BARRAMENTO</t>
  </si>
  <si>
    <t>QUADRO DISTR 24D/18N EMBUTIR COM BARRAMENTO</t>
  </si>
  <si>
    <t>QUADRO DISTR 36D/27N EMBUTIR COM BARRAMENTO</t>
  </si>
  <si>
    <t>QUADRO DISTR 4D/3N SOBREPOR</t>
  </si>
  <si>
    <t>QUADRO DISTR 8D/6N SOBREPOR SEM BARRAMENTO</t>
  </si>
  <si>
    <t>QUADRO DISTR 12D/9N SOBREPOR SEM BARRAMENTO</t>
  </si>
  <si>
    <t>QUADRO DISTR 16D/11N SOBREPOR SEM BARRAMENTO</t>
  </si>
  <si>
    <t>QUADRO DISTR 24D/18N SOBREPOR SEM BARRAMENTO</t>
  </si>
  <si>
    <t>QUADRO DISTR 36D/27N SEM BARRAMENTO</t>
  </si>
  <si>
    <t>QUADRO DISTR 8D/6N SOBREPOR COM BARRAMENTO</t>
  </si>
  <si>
    <t>QUADRO DISTR 12D/9N SOBREPOR COM BARRAMENTO</t>
  </si>
  <si>
    <t>QUADRO DISTR 16D/11N SOBREPOR COM BARRAMENTO</t>
  </si>
  <si>
    <t>QUADRO DISTR 24D/18N SOBREPOR COM BARRAMENTO</t>
  </si>
  <si>
    <t>QUADRO DISTR 36D/27N COM BARRAMENTO</t>
  </si>
  <si>
    <t>CAIXA DE PROTECAO S DISJUNTOR</t>
  </si>
  <si>
    <t>CAIXA DE PASSAGEM ELETRICA DE PISO DN300</t>
  </si>
  <si>
    <t>CAIXAS DE PASSAGEM PAREDE E PISO</t>
  </si>
  <si>
    <t>ADAPTADOR VEDANTE UNIVERSAL CX PASS ELETRICA</t>
  </si>
  <si>
    <t>FITA ISOLANTE ANTI-CHAMA C/CELOF.19MM X  5M</t>
  </si>
  <si>
    <t>FITAS ISOLANTES</t>
  </si>
  <si>
    <t>FITA ISOLANTE ANTI-CHAMA C/CELOF.19MM X 10M</t>
  </si>
  <si>
    <t>FITA ISOLANTE ANTI-CHAMA C/CELOF.19MM X 20M</t>
  </si>
  <si>
    <t>KIT BARRAMENTO 8 FUROS X 5MM (DIAMENTRO)</t>
  </si>
  <si>
    <t>KIT BARRAMENTO 12 FUROS X 5MM (DIAMETRO)</t>
  </si>
  <si>
    <t>KIT BARRAMENTO 16 FUROS X 5MM (DIAMETRO)</t>
  </si>
  <si>
    <t>KIT BARRAMENTO 24 FUROS X 5MM (DIAMETRO)</t>
  </si>
  <si>
    <t>KIT BARRAMENTO 36 FUROS X 5MM (DIAMETRO)</t>
  </si>
  <si>
    <t>QUADRO SISTEMA VDI 30X20 - EMBUTIR</t>
  </si>
  <si>
    <t>QUADRO SISTEMA VDI</t>
  </si>
  <si>
    <t>QUADRO SISTEMA VDI 30X35 - EMBUTIR</t>
  </si>
  <si>
    <t>QUADRO SISTEMA VDI 30X50 - EMBUTIR</t>
  </si>
  <si>
    <t>QUADRO SISTEMA VDI 30X20 - SOBREPOR</t>
  </si>
  <si>
    <t>QUADRO SISTEMA VDI 30X35 - SOBREPOR</t>
  </si>
  <si>
    <t>QUADRO SISTEMA VDI 30X50 - SOBREPOR</t>
  </si>
  <si>
    <t>CAIXA PASSAGEM ELETRICA PAREDE 25X20 EMBUTIR</t>
  </si>
  <si>
    <t>CAIXA PASSAGEM ELETRICA PAREDE 30X20 EMBUTIR</t>
  </si>
  <si>
    <t>CAIXA PASSAGEM ELETRICA PAREDE 30X35 EMBUTIR</t>
  </si>
  <si>
    <t>CAIXA PASSAGEM ELETRICA PAREDE 30X50 EMBUTIR</t>
  </si>
  <si>
    <t>CAIXA PASSAGEM ELETRICA PAREDE 25X20 SOBREPOR</t>
  </si>
  <si>
    <t>CAIXA PASSAGEM ELETRICA PAREDE 30X20 SOBREPOR</t>
  </si>
  <si>
    <t>CAIXA PASSAGEM ELETRICA PAREDE 30X35 SOBREPOR</t>
  </si>
  <si>
    <t>CAIXA PASSAGEM ELETRICA PAREDE 30X50 SOBREPOR</t>
  </si>
  <si>
    <t>COLAR DE TOMADA 50MM X 1/2</t>
  </si>
  <si>
    <t>COLAR DE TOMADA</t>
  </si>
  <si>
    <t>COLAR DE TOMADA 50MM X 3/4</t>
  </si>
  <si>
    <t>COLAR DE TOMADA 60MM X 1/2</t>
  </si>
  <si>
    <t>COLAR DE TOMADA 60MM X 3/4</t>
  </si>
  <si>
    <t>KIT TAMPA/MOLDURA QUADRO DIST 4</t>
  </si>
  <si>
    <t>KIT TAMPA/MOLDURA QUADRO DIST 8</t>
  </si>
  <si>
    <t>KIT TAMPA/MOLDURA QUADRO DIST 12</t>
  </si>
  <si>
    <t>KIT TAMPA/MOLDURA QUADRO DIST 16</t>
  </si>
  <si>
    <t>KIT TAMPA/MOLDURA QUADRO DIST 24</t>
  </si>
  <si>
    <t>KIT TAMPA/MOLDURA QUADRO DIST 36</t>
  </si>
  <si>
    <t>BUCHA DE REDUCAO CURTA ULTRATERM - 22 X 15</t>
  </si>
  <si>
    <t>CPVC - ULTRATERM - CONEXOES</t>
  </si>
  <si>
    <t>BUCHA DE REDUCAO CURTA ULTRATERM - 28 X 15</t>
  </si>
  <si>
    <t>BUCHA DE REDUCAO CURTA ULTRATERM - 28 X 22</t>
  </si>
  <si>
    <t>CAP ULTRATERM - 15MM</t>
  </si>
  <si>
    <t>CAP ULTRATERM - 22MM</t>
  </si>
  <si>
    <t>CAP ULTRATERM - 28MM</t>
  </si>
  <si>
    <t>CONECTOR RM ULTRATERM - 15 X 1/2</t>
  </si>
  <si>
    <t>CONECTOR RM ULTRATERM - 22 X 1/2</t>
  </si>
  <si>
    <t>CONECTOR RM ULTRATERM - 22 X 3/4</t>
  </si>
  <si>
    <t>CONECTOR RM ULTRATERM - 28 X 1</t>
  </si>
  <si>
    <t>JOELHO 45° ULTRATERM - 15MM</t>
  </si>
  <si>
    <t>JOELHO 45° ULTRATERM - 22MM</t>
  </si>
  <si>
    <t>JOELHO 45° ULTRATERM - 28MM</t>
  </si>
  <si>
    <t>JOELHO 90° ULTRATERM - 15MM</t>
  </si>
  <si>
    <t>JOELHO 90° ULTRATERM - 22MM</t>
  </si>
  <si>
    <t>JOELHO 90° ULTRATERM - 28MM</t>
  </si>
  <si>
    <t>JOELHO 90° TRANSICAO RF ULTRATERM - 15 X 1/2</t>
  </si>
  <si>
    <t>JOELHO 90° TRANSICAO RF ULTRATERM - 22 X 1/2</t>
  </si>
  <si>
    <t>JOELHO 90° TRANSICAO RF ULTRATERM - 22 X 3/4</t>
  </si>
  <si>
    <t>JOELHO 90° TRANSICAO RF ULTRATERM - 28 X 1</t>
  </si>
  <si>
    <t>LUVA DE CORRER ULTRATERM  - 15MM</t>
  </si>
  <si>
    <t>LUVA DE CORRER ULTRATERM  - 22MM</t>
  </si>
  <si>
    <t>LUVA DE CORRER ULTRATERM  - 28MM</t>
  </si>
  <si>
    <t>LUVA ULTRATERM - 15MM</t>
  </si>
  <si>
    <t>LUVA ULTRATERM - 22MM</t>
  </si>
  <si>
    <t>LUVA ULTRATERM - 28MM</t>
  </si>
  <si>
    <t>LUVA TRANSICAO F/F ULTRATERM X SOLD- 15X20MM</t>
  </si>
  <si>
    <t>LUVA TRANSICAO F/F ULTRATERM X SOLD- 22X25MM</t>
  </si>
  <si>
    <t>LUVA DE TRANSICAO RF ULTRATERM - 15 X 1/2</t>
  </si>
  <si>
    <t>LUVA DE TRANSICAO RF ULTRATERM - 22 X 1/2</t>
  </si>
  <si>
    <t>LUVA DE TRANSICAO RF ULTRATERM - 22 X 3/4</t>
  </si>
  <si>
    <t>LUVA DE TRANSICAO RF ULTRATERM - 28 X 1</t>
  </si>
  <si>
    <t>TE ULTRATERM - 15MM</t>
  </si>
  <si>
    <t>TE ULTRATERM - 22MM</t>
  </si>
  <si>
    <t>TE ULTRATERM - 28MM</t>
  </si>
  <si>
    <t>TE MISTURADOR RF ULTRATERM - 15 X 1/2</t>
  </si>
  <si>
    <t>TE MISTURADOR RF ULTRATERM - 22 X 3/4</t>
  </si>
  <si>
    <t>TE DE REDUCAO ULTRATERM -  22 X 15</t>
  </si>
  <si>
    <t>TE DE REDUCAO ULTRATERM -  28 X 15</t>
  </si>
  <si>
    <t>TE DE REDUCAO ULTRATERM - 28 X 22</t>
  </si>
  <si>
    <t>TE DE TRANSICAO ULTRATERM - 15 X 1/2</t>
  </si>
  <si>
    <t>TE DE TRANSICAO ULTRATERM - 22 X 1/2</t>
  </si>
  <si>
    <t>TE DE TRANSICAO ULTRATERM - 22 X 3/4</t>
  </si>
  <si>
    <t>TE MISTURADOR M/F/M ULTRATERM - 15MM</t>
  </si>
  <si>
    <t>TE MISTURADOR M/F/M ULTRATERM - 22MM</t>
  </si>
  <si>
    <t>UNIAO F/F ULTRATERM - 15MM</t>
  </si>
  <si>
    <t>UNIAO F/F ULTRATERM - 22MM</t>
  </si>
  <si>
    <t>UNIAO F/F ULTRATERM - 28MM</t>
  </si>
  <si>
    <t>CURVA 90° ULTRATERM - 15MM</t>
  </si>
  <si>
    <t>CURVA 90° ULTRATERM - 22MM</t>
  </si>
  <si>
    <t>CURVA 90° ULTRATERM - 28MM</t>
  </si>
  <si>
    <t>CURVA DE TRANSPOSICAO ULTRATERM - 15MM</t>
  </si>
  <si>
    <t>CURVA DE TRANSPOSICAO ULTRATERM - 22MM</t>
  </si>
  <si>
    <t>ADESIVO PLASTICO ULTRATERM - BISNAGA 17G</t>
  </si>
  <si>
    <t>CPVC - ULTRATERM -  ADESIVOS E COMPLEMENTOS</t>
  </si>
  <si>
    <t>ADESIVO PLASTICO ULTRATERM - BISNAGA 75G</t>
  </si>
  <si>
    <t>ADESI PLAST C PIN APLIC ULTRATERM -FRSC 175G</t>
  </si>
  <si>
    <t>ADESIVO PLASTICO ULTRATERM - FRASCO 850G</t>
  </si>
  <si>
    <t>BUCHA REDUCAO ESGOTO SERIE REFORCADA DN50X40</t>
  </si>
  <si>
    <t>CAP ESGOTO SERIE REFORCADA DN 40</t>
  </si>
  <si>
    <t>CAP ESGOTO SERIE REFORCADA DN 50</t>
  </si>
  <si>
    <t>CAP ESGOTO SERIE REFORCADA DN 75</t>
  </si>
  <si>
    <t>CAP ESGOTO SERIE REFORCADA DN 100</t>
  </si>
  <si>
    <t>CAP ESGOTO SERIE REFORCADA DN 150</t>
  </si>
  <si>
    <t>CURVA 90° ESGOTO SERIE REFORCADA DN 50</t>
  </si>
  <si>
    <t>CURVA 90° CURTA PE COLUNA ESG SER REF DN75</t>
  </si>
  <si>
    <t>CURVA 90° CURTA PE COLUNA SERIE REFORC. DN100</t>
  </si>
  <si>
    <t>CURVA 90° CURTA PE COLUNA SER REF DN150</t>
  </si>
  <si>
    <t>JOELHO 45° ESGOTO SERIE REFORCADA DN40</t>
  </si>
  <si>
    <t>JOELHO 45° ESGOTO SERIE REFORCADA DN50</t>
  </si>
  <si>
    <t>JOELHO 45° ESGOTO SERIE REFORCADA DN75</t>
  </si>
  <si>
    <t>JOELHO 45° ESGOTO SERIE REFORCADA DN100</t>
  </si>
  <si>
    <t>JOELHO 45 ESGOTO SERIE REFORCADA DN150</t>
  </si>
  <si>
    <t>JOELHO 90° ESGOTO SERIE REFORCADA DN40</t>
  </si>
  <si>
    <t>JOELHO 90° ESGOTO SERIE REFORCADA DN50</t>
  </si>
  <si>
    <t>JOELHO 90° ESGOTO SERIE REFORCADA DN75</t>
  </si>
  <si>
    <t>JOELHO 90° ESGOTO SERIE REFORCADA DN100</t>
  </si>
  <si>
    <t>JOELHO 90 ESGOTO SERIE REFORCADA DN150</t>
  </si>
  <si>
    <t>CURVA 90º ESGOTO SERIE REFORCADA DN75</t>
  </si>
  <si>
    <t>JUNCAO DUPLA ESGOTO SERIE REFORCADA DN 100</t>
  </si>
  <si>
    <t>JUNCAO SIMPLES ESGOTO SERIE REFORCADA DN40</t>
  </si>
  <si>
    <t>JUNCAO SIMPLES ESGOTO SERIE REFORCADA DN50</t>
  </si>
  <si>
    <t>JUNCAO SIMPLES ESGOTO SERIE REFORCADA DN75</t>
  </si>
  <si>
    <t>JUNCAO SIMPLES ESGOTO SERIE REFORCADA DN100</t>
  </si>
  <si>
    <t>JUNCAO SIMPLES ESGOTO SERIE REFORCADA DN150</t>
  </si>
  <si>
    <t>JUNCAO SIMPLES RED ESG SER REF DN75X50</t>
  </si>
  <si>
    <t>JUNCAO SIMP. RED. ESG. SER. REFORC. DN 100X50</t>
  </si>
  <si>
    <t>JUNCAO SIMP.RED. ESG. SER. REFORC. DN100X75</t>
  </si>
  <si>
    <t>JUNCAO SIMPLES RED ESG SER REF DN150X100</t>
  </si>
  <si>
    <t>LUVA SIMPLES ESGOTO SERIE REFORCADA DN40</t>
  </si>
  <si>
    <t>LUVA SIMPLES ESGOTO SERIE REFORCADA DN50</t>
  </si>
  <si>
    <t>LUVA SIMPLES ESGOTO SERIE REFORCADA DN75</t>
  </si>
  <si>
    <t>LUVA SIMPLES ESGOTO SERIE REFORCADA DN100</t>
  </si>
  <si>
    <t>LUVA SIMPLES ESGOTO SERIE REFORCADA DN150</t>
  </si>
  <si>
    <t>LUVA CORRER ESGOTO SERIE REFORCADA DN 40</t>
  </si>
  <si>
    <t>LUVA CORRER ESGOTO SERIE REFORCADA DN 50</t>
  </si>
  <si>
    <t>LUVA CORRER ESGOTO SERIE REFORCADA DN 75</t>
  </si>
  <si>
    <t>LUVA CORRER ESGOTO SERIE REFORCADA DN 100</t>
  </si>
  <si>
    <t>LUVA CORRER ESGOTO SERIE REFORCADA DN 150</t>
  </si>
  <si>
    <t>REDUCAO EXCENTRICA ESG SER REF DN75X50</t>
  </si>
  <si>
    <t>REDUCAO EXCENTRICA ESG SER REF DN200X150</t>
  </si>
  <si>
    <t>RED. EXCENTRICA ESGOTO SERIE REFOC. DN100X75</t>
  </si>
  <si>
    <t>REDUCAO EXCENTRICA ESG SER REF DN150X100</t>
  </si>
  <si>
    <t>TE ESGOTO SERIE REFORCADA DN40</t>
  </si>
  <si>
    <t>TE ESGOTO SERIE REFORCADA  DN50</t>
  </si>
  <si>
    <t>TE ESGOTO SERIE REFORCADA DN75</t>
  </si>
  <si>
    <t>TE ESGOTO SERIE REFORCADA DN100</t>
  </si>
  <si>
    <t>TE ESGOTO SERIE REFORCADA DN150</t>
  </si>
  <si>
    <t>TE DE REDUCAO SERIE REFORCADA 75X50</t>
  </si>
  <si>
    <t>TE DE REDUCAO ESGOTO SERIE REFORCADA DN100X50</t>
  </si>
  <si>
    <t>TE DE REDUCAO ESGOTO SERIE REFORCADA DN100X75</t>
  </si>
  <si>
    <t>TE DE REDUCAO ESGOTO SERIE REFORÇADA DN 150X100</t>
  </si>
  <si>
    <t>TE DE INSPECAO ESGOTO SERIE REFORCADA DN75X75</t>
  </si>
  <si>
    <t>TE DE INSPECAO ESGOTO SERIE REF DN100X75</t>
  </si>
  <si>
    <t>TE INSP ESGOTO SR DN 150X100</t>
  </si>
  <si>
    <t>JOELHO 90° C/ VISITA ESG SER REF DN100X75</t>
  </si>
  <si>
    <t>CAIXA DE GORDURA DN300</t>
  </si>
  <si>
    <t>CAIXAS DE GORDURA</t>
  </si>
  <si>
    <t>CAIXA DE INSPECAO DE ESGOTO DN300</t>
  </si>
  <si>
    <t>CAIXA DE AREIA DN300</t>
  </si>
  <si>
    <t>CAIXA COLETORA DE AGUA PLUVIAL DN300</t>
  </si>
  <si>
    <t>PROLONGADOR DN300</t>
  </si>
  <si>
    <t>KIT TAMPA DN 300</t>
  </si>
  <si>
    <t>KIT GRELHA DN 300</t>
  </si>
  <si>
    <t>KIT PORTA-TAMPA/GRELHA DN 300</t>
  </si>
  <si>
    <t>KIT CESTO PARA CAIXA DE GORDURA</t>
  </si>
  <si>
    <t>KIT TELA ANTI-INSETO CAIXA DE AREIA</t>
  </si>
  <si>
    <t>ADAPTADOR TRANS F/F PPR 20X1/2</t>
  </si>
  <si>
    <t>CONEXOES PPR</t>
  </si>
  <si>
    <t>ADAPTADOR TRANS F/F PPR 25X1/2</t>
  </si>
  <si>
    <t>ADAPTADOR TRANS F/F PPR 20X3/4</t>
  </si>
  <si>
    <t>ADAPTADOR TRANS F/F PPR 25X3/4</t>
  </si>
  <si>
    <t>ADAPTADOR TRANS F/F PPR 32X3/4</t>
  </si>
  <si>
    <t>ADAPTADOR TRANS F/F PPR 32X1</t>
  </si>
  <si>
    <t>ADAPTADOR TRANS F/F PPR 40X1.1/4</t>
  </si>
  <si>
    <t>ADAPTADOR TRANS F/F PPR 50X1.1/2</t>
  </si>
  <si>
    <t>ADAPTADOR TRANS F/F PPR 63X2</t>
  </si>
  <si>
    <t>ADAPTADOR TRANS F/F PPR 75X2.1/2</t>
  </si>
  <si>
    <t>ADAPTADOR TRANS F/F PPR 90X3</t>
  </si>
  <si>
    <t>ADAPTADOR TRANS F/M PPR 20X1/2</t>
  </si>
  <si>
    <t>ADAPTADOR TRANS F/M PPR 20X3/4</t>
  </si>
  <si>
    <t>ADAPTADOR TRANS F/M PPR 25X1/2</t>
  </si>
  <si>
    <t>ADAPTADOR TRANS F/M PPR 25X3/4</t>
  </si>
  <si>
    <t>ADAPTADOR TRANS F/M PPR 32X3/4</t>
  </si>
  <si>
    <t>ADAPTADOR TRANS F/M PPR 32X1</t>
  </si>
  <si>
    <t>ADAPTADOR TRANS F/M PPR 40X1.1/4</t>
  </si>
  <si>
    <t>ADAPTADOR TRANS F/M PPR 50X1.1/2</t>
  </si>
  <si>
    <t>ADAPTADOR TRANS F/M PPR 63X2</t>
  </si>
  <si>
    <t>ADAPTADOR TRANS F/M PPR 75X2 1.2</t>
  </si>
  <si>
    <t>ADAPTADOR TRANS F/M PPR 90X3</t>
  </si>
  <si>
    <t>BUCHA REDU M/F PPR 25X20MM</t>
  </si>
  <si>
    <t>BUCHA REDU M/F PPR 32X20MM</t>
  </si>
  <si>
    <t>BUCHA REDU M/F PPR 32X25MM</t>
  </si>
  <si>
    <t>BUCHA REDU M/F PPR 40X25MM</t>
  </si>
  <si>
    <t>BUCHA REDU M/F PPR 40X32MM</t>
  </si>
  <si>
    <t>BUCHA REDU M/F PPR 50X25MM</t>
  </si>
  <si>
    <t>BUCHA REDU M/F PPR 50X32MM</t>
  </si>
  <si>
    <t>BUCHA REDU M/F PPR 50X40MM</t>
  </si>
  <si>
    <t>BUCHA REDU M/F PPR 63X40MM</t>
  </si>
  <si>
    <t>BUCHA REDU M/F PPR 63X50MM</t>
  </si>
  <si>
    <t>BUCHA REDU M/F PPR 75X50MM</t>
  </si>
  <si>
    <t>BUCHA REDU M/F PPR 75X63MM</t>
  </si>
  <si>
    <t>BUCHA REDU M/F PPR 90X63MM</t>
  </si>
  <si>
    <t>BUCHA REDU M/F PPR 90X75MM</t>
  </si>
  <si>
    <t>BUCHA REDU M/F PPR 110X75MM</t>
  </si>
  <si>
    <t>BUCHA REDU M/F PPR 110X90MM</t>
  </si>
  <si>
    <t>CAP PPR 20MM</t>
  </si>
  <si>
    <t>CAP PPR 25MM</t>
  </si>
  <si>
    <t>CAP PPR 32MM</t>
  </si>
  <si>
    <t>CAP PPR 40MM</t>
  </si>
  <si>
    <t>CAP PPR 50MM</t>
  </si>
  <si>
    <t>CAP PPR 63MM</t>
  </si>
  <si>
    <t>CAP PPR 75MM</t>
  </si>
  <si>
    <t>CAP PPR 90MM</t>
  </si>
  <si>
    <t>CAP PPR 110MM</t>
  </si>
  <si>
    <t>CURVA 90 F/F PPR 20MM</t>
  </si>
  <si>
    <t>CURVA 90 F/F PPR 25MM</t>
  </si>
  <si>
    <t>CURVA 90 F/F PPR 32MM</t>
  </si>
  <si>
    <t>CURVA TRANSP F/F PPR 20MM</t>
  </si>
  <si>
    <t>CURVA TRANSP F/F PPR 25MM</t>
  </si>
  <si>
    <t>CURVA TRANSP F/F PPR 32MM</t>
  </si>
  <si>
    <t>JOELHO 45 F/F PPR 20MM</t>
  </si>
  <si>
    <t>JOELHO 45 F/F PPR 25MM</t>
  </si>
  <si>
    <t>JOELHO 45 F/F PPR 32MM</t>
  </si>
  <si>
    <t>JOELHO 45 F/F PPR 40MM</t>
  </si>
  <si>
    <t>JOELHO 45 F/F PPR 50MM</t>
  </si>
  <si>
    <t>JOELHO 45 F/F PPR 63MM</t>
  </si>
  <si>
    <t>JOELHO 45 F/F PPR 75MM</t>
  </si>
  <si>
    <t>JOELHO 45 F/F PPR 90MM</t>
  </si>
  <si>
    <t>JOELHO 45 F/F PPR 110MM</t>
  </si>
  <si>
    <t>JOELHO 45 F/M PPR 20MM</t>
  </si>
  <si>
    <t>JOELHO 45 F/M PPR 25MM</t>
  </si>
  <si>
    <t>JOELHO 90 F/F INS MET PPR 20X1/2</t>
  </si>
  <si>
    <t>JOELHO 90 F/F INS MET PPR 25X3/4</t>
  </si>
  <si>
    <t>JOELHO 90 F/F INS MET PPR 32X3/4</t>
  </si>
  <si>
    <t>JOELHO 90 F/F INS MET PPR 32X1</t>
  </si>
  <si>
    <t>JOELHO 90 F/F PPR 20MM</t>
  </si>
  <si>
    <t>JOELHO 90 F/F PPR 25MM</t>
  </si>
  <si>
    <t>JOELHO 90 F/F PPR 32MM</t>
  </si>
  <si>
    <t>JOELHO 90 F/F PPR 40MM</t>
  </si>
  <si>
    <t>JOELHO 90 F/F PPR 50MM</t>
  </si>
  <si>
    <t>JOELHO 90 F/F PPR 63MM</t>
  </si>
  <si>
    <t>JOELHO 90 F/F PPR 75MM</t>
  </si>
  <si>
    <t>JOELHO 90 F/F PPR 90MM</t>
  </si>
  <si>
    <t>JOELHO 90 F/F PPR 110MM</t>
  </si>
  <si>
    <t>JOELHO 90 F/M INS MET PPR 20X1/2</t>
  </si>
  <si>
    <t>JOELHO 90 F/M INS MET PPR 25X3/4</t>
  </si>
  <si>
    <t>JOELHO 90 F/M INS MET PPR 32X3/4</t>
  </si>
  <si>
    <t>JOELHO 90 F/M INS MET PPR 32X1</t>
  </si>
  <si>
    <t>JOELHO 90 F/M PPR 20MM</t>
  </si>
  <si>
    <t>JOELHO 90 F/M PPR 25MM</t>
  </si>
  <si>
    <t>JOELHO 90 F/M PPR 32MM</t>
  </si>
  <si>
    <t>LUVA REDU F/F PPR 25X20MM</t>
  </si>
  <si>
    <t>LUVA REDU F/F PPR 32X20MM</t>
  </si>
  <si>
    <t>LUVA REDU F/F PPR 32X25MM</t>
  </si>
  <si>
    <t>LUVA SIMPLES F/F PPR 20MM</t>
  </si>
  <si>
    <t>LUVA SIMPLES F/F PPR 25MM</t>
  </si>
  <si>
    <t>LUVA SIMPLES F/F PPR 32MM</t>
  </si>
  <si>
    <t>LUVA SIMPLES F/F PPR 40MM</t>
  </si>
  <si>
    <t>LUVA SIMPLES F/F PPR 50MM</t>
  </si>
  <si>
    <t>LUVA SIMPLES F/F PPR 63MM</t>
  </si>
  <si>
    <t>LUVA SIMPLES F/F PPR 75MM</t>
  </si>
  <si>
    <t>LUVA SIMPLES F/F PPR 90MM</t>
  </si>
  <si>
    <t>LUVA SIMPLES F/F PPR 110MM</t>
  </si>
  <si>
    <t>MISTURADOR F/M/M PPR 20MM</t>
  </si>
  <si>
    <t>MISTURADOR F/M/M PPR 25MM</t>
  </si>
  <si>
    <t>MISTURADOR INS MET F/F/F PPR 20X1/2</t>
  </si>
  <si>
    <t>MISTURADOR INS MET F/F/F PPR 25X3/4</t>
  </si>
  <si>
    <t>PLUG PPR 1/2</t>
  </si>
  <si>
    <t>PLUG PPR 3/4</t>
  </si>
  <si>
    <t>TARUGOS PARA REPAROS PPR 8MM</t>
  </si>
  <si>
    <t>TE F/F/F CENT INS MET PPR 20X1/2X20</t>
  </si>
  <si>
    <t>TE F/F/F CENT INS MET PPR 25X1/2X25</t>
  </si>
  <si>
    <t>TE F/F/F CENT INS MET PPR 25X3/4X25</t>
  </si>
  <si>
    <t>TE F/F/F CENT INS MET PPR 32X1/2X32</t>
  </si>
  <si>
    <t>TE F/F/F CENT INS MET PPR 32X3/4X32</t>
  </si>
  <si>
    <t>TE F/F/F CENT INS MET PPR 32X1X32</t>
  </si>
  <si>
    <t>TE F/F/F PPR 20MM</t>
  </si>
  <si>
    <t>TE F/F/F PPR 25MM</t>
  </si>
  <si>
    <t>TE F/F/F PPR 32MM</t>
  </si>
  <si>
    <t>TE F/F/F PPR 40MM</t>
  </si>
  <si>
    <t>TE F/F/F PPR 50MM</t>
  </si>
  <si>
    <t>TE F/F/F PPR 63MM</t>
  </si>
  <si>
    <t>TE F/F/F PPR 75MM</t>
  </si>
  <si>
    <t>TE F/F/F REDU CENT PPR 25X20X25MM</t>
  </si>
  <si>
    <t>TE F/F/F REDU CENT PPR 32X20X32MM</t>
  </si>
  <si>
    <t>TE F/F/F REDU CENT PPR 32X25X32MM</t>
  </si>
  <si>
    <t>TE F/F/F REDU CENT PPR 40X25X40MM</t>
  </si>
  <si>
    <t>TE F/F/F REDU CENT PPR 40X32X40MM</t>
  </si>
  <si>
    <t>TE F/F/F REDU CENT PPR 50X25X50MM</t>
  </si>
  <si>
    <t>TE F/F/F REDU CENT PPR 50X32X50MM</t>
  </si>
  <si>
    <t>TE F/F/F REDU CENT PPR 50X40X50MM</t>
  </si>
  <si>
    <t>TE F/F/F REDU CENT PPR 63X40X63MM</t>
  </si>
  <si>
    <t>TE F/F/F REDU CENT PPR 63X50X63MM</t>
  </si>
  <si>
    <t>TE F/F/F REDU CENT PPR 75X50X75MM</t>
  </si>
  <si>
    <t>TE F/F/F REDU CENT PPR 75X63X75MM</t>
  </si>
  <si>
    <t>TE F/F/F REDU CENT PPR 90X63X90MM</t>
  </si>
  <si>
    <t>TE F/F/F REDU CENT PPR 90X75X90MM</t>
  </si>
  <si>
    <t>TE F/F/F REDU CENT PPR 110X75X110MM</t>
  </si>
  <si>
    <t>TE F/F/F REDU CENT PPR 110X90X110MM</t>
  </si>
  <si>
    <t>TE F/M/F CENT INS MET PPR 20X1/2X20</t>
  </si>
  <si>
    <t>TE F/M/F CENT INS MET PPR 25X1/2X25</t>
  </si>
  <si>
    <t>TE F/M/F CENT INS MET PPR 25X3/4X25</t>
  </si>
  <si>
    <t>TE F/M/F CENT INS MET PPR 32X1/2X32</t>
  </si>
  <si>
    <t>TE F/M/F CENT INS MET PPR 32X3/4X32</t>
  </si>
  <si>
    <t>TE F/M/F CENT INS MET PPR 32X1X32</t>
  </si>
  <si>
    <t>UNIAO PPR 20MM</t>
  </si>
  <si>
    <t>UNIAO PPR 25MM</t>
  </si>
  <si>
    <t>UNIAO PPR 32MM</t>
  </si>
  <si>
    <t>BOCAL M/F 20MM</t>
  </si>
  <si>
    <t>FERRAMENTAS PPR</t>
  </si>
  <si>
    <t>BOCAL M/F 25MM</t>
  </si>
  <si>
    <t>BOCAL M/F 32MM</t>
  </si>
  <si>
    <t>BOCAL M/F 40MM</t>
  </si>
  <si>
    <t>BOCAL M/F 50MM</t>
  </si>
  <si>
    <t>BOCAL M/F 63MM</t>
  </si>
  <si>
    <t>BOCAL M/F 75MM</t>
  </si>
  <si>
    <t>BOCAL M/F 90MM</t>
  </si>
  <si>
    <t>BOCAL M/F 110MM</t>
  </si>
  <si>
    <t>CORTA-TUBOS PARA PPR DE 50 A 110MM</t>
  </si>
  <si>
    <t>TESOURA PARA CORTE DE TUBO PPR</t>
  </si>
  <si>
    <t>TERMOFUSOR 110V R63</t>
  </si>
  <si>
    <t>TERMOFUSOR 1000W/220V R63</t>
  </si>
  <si>
    <t>TERMOFUSOR 1200W/220V R110</t>
  </si>
  <si>
    <t>TERMOFUSOR 800W/110V R63</t>
  </si>
  <si>
    <t>JOELHO 90 F/F INS MET PPR 25X1/2</t>
  </si>
  <si>
    <t>BOCAL P/ REPARAR TUBULACAO 7MM</t>
  </si>
  <si>
    <t>BOCAL P/ REPARAR TUBULACAO 11MM</t>
  </si>
  <si>
    <t>TE F/F/F PPR 90MM</t>
  </si>
  <si>
    <t>TE F/F/F PPR 110MM</t>
  </si>
  <si>
    <t>CYRELA</t>
  </si>
  <si>
    <t>Coluna1</t>
  </si>
  <si>
    <t>Coluna2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</si>
</sst>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7" formatCode="#,##0.0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indexed="9"/>
      <name val="Calibri"/>
      <family val="2"/>
    </font>
    <font>
      <b/>
      <sz val="10"/>
      <color indexed="8"/>
      <name val="Calibri"/>
      <family val="2"/>
    </font>
    <font>
      <sz val="10"/>
      <name val="Arial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/>
      <right style="thin">
        <color rgb="FF4F81BD"/>
      </right>
      <top style="thin">
        <color rgb="FF4F81BD"/>
      </top>
      <bottom/>
      <diagonal/>
    </border>
    <border>
      <left style="thin">
        <color rgb="FFB8CCE4"/>
      </left>
      <right/>
      <top style="thin">
        <color rgb="FFB8CCE4"/>
      </top>
      <bottom/>
      <diagonal/>
    </border>
    <border>
      <left/>
      <right style="thin">
        <color rgb="FF4F81BD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4F81BD"/>
      </left>
      <right style="thin">
        <color rgb="FF4F81BD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/>
    </xf>
    <xf numFmtId="9" fontId="0" fillId="0" borderId="0" xfId="0" applyNumberFormat="1"/>
    <xf numFmtId="9" fontId="3" fillId="3" borderId="2" xfId="0" applyNumberFormat="1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left"/>
    </xf>
    <xf numFmtId="0" fontId="0" fillId="0" borderId="4" xfId="0" applyBorder="1"/>
    <xf numFmtId="164" fontId="0" fillId="0" borderId="0" xfId="0" applyNumberFormat="1"/>
    <xf numFmtId="10" fontId="0" fillId="0" borderId="0" xfId="1" applyNumberFormat="1" applyFont="1"/>
    <xf numFmtId="4" fontId="0" fillId="0" borderId="0" xfId="0" applyNumberFormat="1"/>
    <xf numFmtId="9" fontId="0" fillId="0" borderId="0" xfId="1" applyFont="1"/>
    <xf numFmtId="0" fontId="0" fillId="4" borderId="4" xfId="0" applyFill="1" applyBorder="1"/>
    <xf numFmtId="0" fontId="2" fillId="2" borderId="5" xfId="0" applyFont="1" applyFill="1" applyBorder="1" applyAlignment="1">
      <alignment horizontal="center"/>
    </xf>
    <xf numFmtId="167" fontId="0" fillId="4" borderId="4" xfId="0" applyNumberFormat="1" applyFill="1" applyBorder="1"/>
    <xf numFmtId="167" fontId="0" fillId="0" borderId="4" xfId="0" applyNumberFormat="1" applyBorder="1"/>
    <xf numFmtId="167" fontId="0" fillId="0" borderId="0" xfId="0" applyNumberFormat="1"/>
  </cellXfs>
  <cellStyles count="3">
    <cellStyle name="Normal" xfId="0" builtinId="0"/>
    <cellStyle name="Normal 4" xfId="2" xr:uid="{F3BEBAC5-8D54-4CDB-A4F8-039614206DF5}"/>
    <cellStyle name="Porcentagem" xfId="1" builtinId="5"/>
  </cellStyles>
  <dxfs count="7">
    <dxf>
      <numFmt numFmtId="167" formatCode="#,##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solid">
          <fgColor indexed="64"/>
          <bgColor rgb="FFB8CCE4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rgb="FF4F81BD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Calibri"/>
        <family val="2"/>
        <scheme val="none"/>
      </font>
      <fill>
        <patternFill patternType="solid">
          <fgColor indexed="64"/>
          <bgColor rgb="FFC00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4F81BD"/>
        </left>
        <right style="thin">
          <color rgb="FF4F81BD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enato.souza/Downloads/Planilha%20envio%20regional%20-%20SP%20(11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air%20de%20Fatima\Downloads\TABELAS%20KRONA\TABELA%20CYRELA%20SP-%20VALIDA%20AT&#201;%2030.8.xlsx" TargetMode="External"/><Relationship Id="rId1" Type="http://schemas.openxmlformats.org/officeDocument/2006/relationships/externalLinkPath" Target="/Users/Nair%20de%20Fatima/Downloads/TABELAS%20KRONA/TABELA%20CYRELA%20SP-%20VALIDA%20AT&#201;%2030.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ços"/>
      <sheetName val="Planilha1"/>
    </sheetNames>
    <sheetDataSet>
      <sheetData sheetId="0" refreshError="1"/>
      <sheetData sheetId="1" refreshError="1">
        <row r="2">
          <cell r="B2" t="str">
            <v>ATACADO</v>
          </cell>
        </row>
        <row r="3">
          <cell r="K3">
            <v>147</v>
          </cell>
          <cell r="L3" t="str">
            <v>TUBO PPR PN20 20MMX3M</v>
          </cell>
          <cell r="M3" t="str">
            <v>PPR</v>
          </cell>
          <cell r="N3">
            <v>0.04</v>
          </cell>
        </row>
        <row r="4">
          <cell r="K4">
            <v>148</v>
          </cell>
          <cell r="L4" t="str">
            <v>TUBO PPR PN20 25MMX3M</v>
          </cell>
          <cell r="M4" t="str">
            <v>PPR</v>
          </cell>
          <cell r="N4">
            <v>0.04</v>
          </cell>
        </row>
        <row r="5">
          <cell r="K5">
            <v>149</v>
          </cell>
          <cell r="L5" t="str">
            <v>TUBO PPR PN20 32MMX3M</v>
          </cell>
          <cell r="M5" t="str">
            <v>PPR</v>
          </cell>
          <cell r="N5">
            <v>0.04</v>
          </cell>
        </row>
        <row r="6">
          <cell r="K6">
            <v>150</v>
          </cell>
          <cell r="L6" t="str">
            <v>TUBO PPR PN20 40MMX3M</v>
          </cell>
          <cell r="M6" t="str">
            <v>PPR</v>
          </cell>
          <cell r="N6">
            <v>0.04</v>
          </cell>
        </row>
        <row r="7">
          <cell r="K7">
            <v>151</v>
          </cell>
          <cell r="L7" t="str">
            <v>TUBO PPR PN20 50MMX3M</v>
          </cell>
          <cell r="M7" t="str">
            <v>PPR</v>
          </cell>
          <cell r="N7">
            <v>0.04</v>
          </cell>
        </row>
        <row r="8">
          <cell r="K8">
            <v>152</v>
          </cell>
          <cell r="L8" t="str">
            <v>TUBO PPR PN20 63MMX3M</v>
          </cell>
          <cell r="M8" t="str">
            <v>PPR</v>
          </cell>
          <cell r="N8">
            <v>0.04</v>
          </cell>
        </row>
        <row r="9">
          <cell r="K9">
            <v>153</v>
          </cell>
          <cell r="L9" t="str">
            <v>TUBO PPR PN20 75MMX3M</v>
          </cell>
          <cell r="M9" t="str">
            <v>PPR</v>
          </cell>
          <cell r="N9">
            <v>0.04</v>
          </cell>
        </row>
        <row r="10">
          <cell r="K10">
            <v>154</v>
          </cell>
          <cell r="L10" t="str">
            <v>TUBO PPR PN20 90MMX3M</v>
          </cell>
          <cell r="M10" t="str">
            <v>PPR</v>
          </cell>
          <cell r="N10">
            <v>0.04</v>
          </cell>
        </row>
        <row r="11">
          <cell r="K11">
            <v>155</v>
          </cell>
          <cell r="L11" t="str">
            <v>TUBO PPR PN20 110MMX3M</v>
          </cell>
          <cell r="M11" t="str">
            <v>PPR</v>
          </cell>
          <cell r="N11">
            <v>0.04</v>
          </cell>
        </row>
        <row r="12">
          <cell r="K12">
            <v>156</v>
          </cell>
          <cell r="L12" t="str">
            <v>TUBO PPR PN25 20MMX3M</v>
          </cell>
          <cell r="M12" t="str">
            <v>PPR</v>
          </cell>
          <cell r="N12">
            <v>0.04</v>
          </cell>
        </row>
        <row r="13">
          <cell r="K13">
            <v>157</v>
          </cell>
          <cell r="L13" t="str">
            <v>TUBO PPR PN25 25MMX3M</v>
          </cell>
          <cell r="M13" t="str">
            <v>PPR</v>
          </cell>
          <cell r="N13">
            <v>0.04</v>
          </cell>
        </row>
        <row r="14">
          <cell r="K14">
            <v>158</v>
          </cell>
          <cell r="L14" t="str">
            <v>TUBO PPR PN25 32MMX3M</v>
          </cell>
          <cell r="M14" t="str">
            <v>PPR</v>
          </cell>
          <cell r="N14">
            <v>0.04</v>
          </cell>
        </row>
        <row r="15">
          <cell r="K15">
            <v>159</v>
          </cell>
          <cell r="L15" t="str">
            <v>TUBO PPR PN25 40MMX3M</v>
          </cell>
          <cell r="M15" t="str">
            <v>PPR</v>
          </cell>
          <cell r="N15">
            <v>0.04</v>
          </cell>
        </row>
        <row r="16">
          <cell r="K16">
            <v>160</v>
          </cell>
          <cell r="L16" t="str">
            <v>TUBO PPR PN25 50MMX3M</v>
          </cell>
          <cell r="M16" t="str">
            <v>PPR</v>
          </cell>
          <cell r="N16">
            <v>0.04</v>
          </cell>
        </row>
        <row r="17">
          <cell r="K17">
            <v>161</v>
          </cell>
          <cell r="L17" t="str">
            <v>TUBO PPR PN25 63MMX3M</v>
          </cell>
          <cell r="M17" t="str">
            <v>PPR</v>
          </cell>
          <cell r="N17">
            <v>0.04</v>
          </cell>
        </row>
        <row r="18">
          <cell r="K18">
            <v>162</v>
          </cell>
          <cell r="L18" t="str">
            <v>TUBO PPR PN25 75MMX3M</v>
          </cell>
          <cell r="M18" t="str">
            <v>PPR</v>
          </cell>
          <cell r="N18">
            <v>0.04</v>
          </cell>
        </row>
        <row r="19">
          <cell r="K19">
            <v>163</v>
          </cell>
          <cell r="L19" t="str">
            <v>TUBO PPR PN25 90MMX3M</v>
          </cell>
          <cell r="M19" t="str">
            <v>PPR</v>
          </cell>
          <cell r="N19">
            <v>0.04</v>
          </cell>
        </row>
        <row r="20">
          <cell r="K20">
            <v>164</v>
          </cell>
          <cell r="L20" t="str">
            <v>TUBO PPR PN25 110MMX3M</v>
          </cell>
          <cell r="M20" t="str">
            <v>PPR</v>
          </cell>
          <cell r="N20">
            <v>0.04</v>
          </cell>
        </row>
        <row r="21">
          <cell r="K21">
            <v>166</v>
          </cell>
          <cell r="L21" t="str">
            <v>TUBO PPR PN 12 32MMX3M</v>
          </cell>
          <cell r="M21" t="str">
            <v>PPR</v>
          </cell>
          <cell r="N21">
            <v>0.04</v>
          </cell>
        </row>
        <row r="22">
          <cell r="K22">
            <v>167</v>
          </cell>
          <cell r="L22" t="str">
            <v>TUBO PPR PN 12 40MMX3M</v>
          </cell>
          <cell r="M22" t="str">
            <v>PPR</v>
          </cell>
          <cell r="N22">
            <v>0.04</v>
          </cell>
        </row>
        <row r="23">
          <cell r="K23">
            <v>168</v>
          </cell>
          <cell r="L23" t="str">
            <v>TUBO PPR PN 12 50MMX3M</v>
          </cell>
          <cell r="M23" t="str">
            <v>PPR</v>
          </cell>
          <cell r="N23">
            <v>0.04</v>
          </cell>
        </row>
        <row r="24">
          <cell r="K24">
            <v>169</v>
          </cell>
          <cell r="L24" t="str">
            <v>TUBO PPR PN 12 63MMX3M</v>
          </cell>
          <cell r="M24" t="str">
            <v>PPR</v>
          </cell>
          <cell r="N24">
            <v>0.04</v>
          </cell>
        </row>
        <row r="25">
          <cell r="K25">
            <v>170</v>
          </cell>
          <cell r="L25" t="str">
            <v>TUBO PPR PN 12 75MMX3M</v>
          </cell>
          <cell r="M25" t="str">
            <v>PPR</v>
          </cell>
          <cell r="N25">
            <v>0.04</v>
          </cell>
        </row>
        <row r="26">
          <cell r="K26">
            <v>171</v>
          </cell>
          <cell r="L26" t="str">
            <v>TUBO PPR PN 12 90MMX3M</v>
          </cell>
          <cell r="M26" t="str">
            <v>PPR</v>
          </cell>
          <cell r="N26">
            <v>0.04</v>
          </cell>
        </row>
        <row r="27">
          <cell r="K27">
            <v>172</v>
          </cell>
          <cell r="L27" t="str">
            <v>TUBO PPR PN 12 110MMX3M</v>
          </cell>
          <cell r="M27" t="str">
            <v>PPR</v>
          </cell>
          <cell r="N27">
            <v>0.04</v>
          </cell>
        </row>
        <row r="28">
          <cell r="K28">
            <v>1499</v>
          </cell>
          <cell r="L28" t="str">
            <v>ADAPTADOR TRANS F/F PPR 20X1/2</v>
          </cell>
          <cell r="M28" t="str">
            <v>PPR</v>
          </cell>
          <cell r="N28">
            <v>0.04</v>
          </cell>
        </row>
        <row r="29">
          <cell r="K29">
            <v>1501</v>
          </cell>
          <cell r="L29" t="str">
            <v>ADAPTADOR TRANS F/F PPR 25X1/2</v>
          </cell>
          <cell r="M29" t="str">
            <v>PPR</v>
          </cell>
          <cell r="N29">
            <v>0.04</v>
          </cell>
        </row>
        <row r="30">
          <cell r="K30">
            <v>1502</v>
          </cell>
          <cell r="L30" t="str">
            <v>ADAPTADOR TRANS F/F PPR 20X3/4</v>
          </cell>
          <cell r="M30" t="str">
            <v>PPR</v>
          </cell>
          <cell r="N30">
            <v>0.04</v>
          </cell>
        </row>
        <row r="31">
          <cell r="K31">
            <v>1503</v>
          </cell>
          <cell r="L31" t="str">
            <v>ADAPTADOR TRANS F/F PPR 25X3/4</v>
          </cell>
          <cell r="M31" t="str">
            <v>PPR</v>
          </cell>
          <cell r="N31">
            <v>0.04</v>
          </cell>
        </row>
        <row r="32">
          <cell r="K32">
            <v>1504</v>
          </cell>
          <cell r="L32" t="str">
            <v>ADAPTADOR TRANS F/F PPR 32X3/4</v>
          </cell>
          <cell r="M32" t="str">
            <v>PPR</v>
          </cell>
          <cell r="N32">
            <v>0.04</v>
          </cell>
        </row>
        <row r="33">
          <cell r="K33">
            <v>1505</v>
          </cell>
          <cell r="L33" t="str">
            <v>ADAPTADOR TRANS F/F PPR 32X1</v>
          </cell>
          <cell r="M33" t="str">
            <v>PPR</v>
          </cell>
          <cell r="N33">
            <v>0.04</v>
          </cell>
        </row>
        <row r="34">
          <cell r="K34">
            <v>1506</v>
          </cell>
          <cell r="L34" t="str">
            <v>ADAPTADOR TRANS F/F PPR 40X1.1/4</v>
          </cell>
          <cell r="M34" t="str">
            <v>PPR</v>
          </cell>
          <cell r="N34">
            <v>0.04</v>
          </cell>
        </row>
        <row r="35">
          <cell r="K35">
            <v>1507</v>
          </cell>
          <cell r="L35" t="str">
            <v>ADAPTADOR TRANS F/F PPR 50X1.1/2</v>
          </cell>
          <cell r="M35" t="str">
            <v>PPR</v>
          </cell>
          <cell r="N35">
            <v>0.04</v>
          </cell>
        </row>
        <row r="36">
          <cell r="K36">
            <v>1508</v>
          </cell>
          <cell r="L36" t="str">
            <v>ADAPTADOR TRANS F/F PPR 63X2</v>
          </cell>
          <cell r="M36" t="str">
            <v>PPR</v>
          </cell>
          <cell r="N36">
            <v>0.04</v>
          </cell>
        </row>
        <row r="37">
          <cell r="K37">
            <v>1509</v>
          </cell>
          <cell r="L37" t="str">
            <v>ADAPTADOR TRANS F/F PPR 75X2.1/2</v>
          </cell>
          <cell r="M37" t="str">
            <v>PPR</v>
          </cell>
          <cell r="N37">
            <v>0.04</v>
          </cell>
        </row>
        <row r="38">
          <cell r="K38">
            <v>1510</v>
          </cell>
          <cell r="L38" t="str">
            <v>ADAPTADOR TRANS F/F PPR 90X3</v>
          </cell>
          <cell r="M38" t="str">
            <v>PPR</v>
          </cell>
          <cell r="N38">
            <v>0.04</v>
          </cell>
        </row>
        <row r="39">
          <cell r="K39">
            <v>1511</v>
          </cell>
          <cell r="L39" t="str">
            <v>ADAPTADOR TRANS F/F PPR 110X4</v>
          </cell>
          <cell r="M39" t="str">
            <v>PPR</v>
          </cell>
          <cell r="N39">
            <v>0.04</v>
          </cell>
        </row>
        <row r="40">
          <cell r="K40">
            <v>1512</v>
          </cell>
          <cell r="L40" t="str">
            <v>ADAPTADOR TRANS F/M PPR 20X1/2</v>
          </cell>
          <cell r="M40" t="str">
            <v>PPR</v>
          </cell>
          <cell r="N40">
            <v>0.04</v>
          </cell>
        </row>
        <row r="41">
          <cell r="K41">
            <v>1513</v>
          </cell>
          <cell r="L41" t="str">
            <v>ADAPTADOR TRANS F/M PPR 20X3/4</v>
          </cell>
          <cell r="M41" t="str">
            <v>PPR</v>
          </cell>
          <cell r="N41">
            <v>0.04</v>
          </cell>
        </row>
        <row r="42">
          <cell r="K42">
            <v>1514</v>
          </cell>
          <cell r="L42" t="str">
            <v>ADAPTADOR TRANS F/M PPR 25X1/2</v>
          </cell>
          <cell r="M42" t="str">
            <v>PPR</v>
          </cell>
          <cell r="N42">
            <v>0.04</v>
          </cell>
        </row>
        <row r="43">
          <cell r="K43">
            <v>1515</v>
          </cell>
          <cell r="L43" t="str">
            <v>ADAPTADOR TRANS F/M PPR 25X3/4</v>
          </cell>
          <cell r="M43" t="str">
            <v>PPR</v>
          </cell>
          <cell r="N43">
            <v>0.04</v>
          </cell>
        </row>
        <row r="44">
          <cell r="K44">
            <v>1516</v>
          </cell>
          <cell r="L44" t="str">
            <v>ADAPTADOR TRANS F/M PPR 32X3/4</v>
          </cell>
          <cell r="M44" t="str">
            <v>PPR</v>
          </cell>
          <cell r="N44">
            <v>0.04</v>
          </cell>
        </row>
        <row r="45">
          <cell r="K45">
            <v>1517</v>
          </cell>
          <cell r="L45" t="str">
            <v>ADAPTADOR TRANS F/M PPR 32X1</v>
          </cell>
          <cell r="M45" t="str">
            <v>PPR</v>
          </cell>
          <cell r="N45">
            <v>0.04</v>
          </cell>
        </row>
        <row r="46">
          <cell r="K46">
            <v>1518</v>
          </cell>
          <cell r="L46" t="str">
            <v>ADAPTADOR TRANS F/M PPR 40X1.1/4</v>
          </cell>
          <cell r="M46" t="str">
            <v>PPR</v>
          </cell>
          <cell r="N46">
            <v>0.04</v>
          </cell>
        </row>
        <row r="47">
          <cell r="K47">
            <v>1519</v>
          </cell>
          <cell r="L47" t="str">
            <v>ADAPTADOR TRANS F/M PPR 50X1.1/2</v>
          </cell>
          <cell r="M47" t="str">
            <v>PPR</v>
          </cell>
          <cell r="N47">
            <v>0.04</v>
          </cell>
        </row>
        <row r="48">
          <cell r="K48">
            <v>1520</v>
          </cell>
          <cell r="L48" t="str">
            <v>ADAPTADOR TRANS F/M PPR 63X2</v>
          </cell>
          <cell r="M48" t="str">
            <v>PPR</v>
          </cell>
          <cell r="N48">
            <v>0.04</v>
          </cell>
        </row>
        <row r="49">
          <cell r="K49">
            <v>1521</v>
          </cell>
          <cell r="L49" t="str">
            <v>ADAPTADOR TRANS F/M PPR 75X2 1.2</v>
          </cell>
          <cell r="M49" t="str">
            <v>PPR</v>
          </cell>
          <cell r="N49">
            <v>0.04</v>
          </cell>
        </row>
        <row r="50">
          <cell r="K50">
            <v>1522</v>
          </cell>
          <cell r="L50" t="str">
            <v>ADAPTADOR TRANS F/M PPR 90X3</v>
          </cell>
          <cell r="M50" t="str">
            <v>PPR</v>
          </cell>
          <cell r="N50">
            <v>0.04</v>
          </cell>
        </row>
        <row r="51">
          <cell r="K51">
            <v>1523</v>
          </cell>
          <cell r="L51" t="str">
            <v>ADAPTADOR TRANS F/M PPR 110X4</v>
          </cell>
          <cell r="M51" t="str">
            <v>PPR</v>
          </cell>
          <cell r="N51">
            <v>0.04</v>
          </cell>
        </row>
        <row r="52">
          <cell r="K52">
            <v>1524</v>
          </cell>
          <cell r="L52" t="str">
            <v>BUCHA REDU M/F PPR 25X20MM</v>
          </cell>
          <cell r="M52" t="str">
            <v>PPR</v>
          </cell>
          <cell r="N52">
            <v>0.04</v>
          </cell>
        </row>
        <row r="53">
          <cell r="K53">
            <v>1525</v>
          </cell>
          <cell r="L53" t="str">
            <v>BUCHA REDU M/F PPR 32X20MM</v>
          </cell>
          <cell r="M53" t="str">
            <v>PPR</v>
          </cell>
          <cell r="N53">
            <v>0.04</v>
          </cell>
        </row>
        <row r="54">
          <cell r="K54">
            <v>1526</v>
          </cell>
          <cell r="L54" t="str">
            <v>BUCHA REDU M/F PPR 32X25MM</v>
          </cell>
          <cell r="M54" t="str">
            <v>PPR</v>
          </cell>
          <cell r="N54">
            <v>0.04</v>
          </cell>
        </row>
        <row r="55">
          <cell r="K55">
            <v>1527</v>
          </cell>
          <cell r="L55" t="str">
            <v>BUCHA REDU M/F PPR 40X25MM</v>
          </cell>
          <cell r="M55" t="str">
            <v>PPR</v>
          </cell>
          <cell r="N55">
            <v>0.04</v>
          </cell>
        </row>
        <row r="56">
          <cell r="K56">
            <v>1528</v>
          </cell>
          <cell r="L56" t="str">
            <v>BUCHA REDU M/F PPR 40X32MM</v>
          </cell>
          <cell r="M56" t="str">
            <v>PPR</v>
          </cell>
          <cell r="N56">
            <v>0.04</v>
          </cell>
        </row>
        <row r="57">
          <cell r="K57">
            <v>1529</v>
          </cell>
          <cell r="L57" t="str">
            <v>BUCHA REDU M/F PPR 50X25MM</v>
          </cell>
          <cell r="M57" t="str">
            <v>PPR</v>
          </cell>
          <cell r="N57">
            <v>0.04</v>
          </cell>
        </row>
        <row r="58">
          <cell r="K58">
            <v>1530</v>
          </cell>
          <cell r="L58" t="str">
            <v>BUCHA REDU M/F PPR 50X32MM</v>
          </cell>
          <cell r="M58" t="str">
            <v>PPR</v>
          </cell>
          <cell r="N58">
            <v>0.04</v>
          </cell>
        </row>
        <row r="59">
          <cell r="K59">
            <v>1531</v>
          </cell>
          <cell r="L59" t="str">
            <v>BUCHA REDU M/F PPR 50X40MM</v>
          </cell>
          <cell r="M59" t="str">
            <v>PPR</v>
          </cell>
          <cell r="N59">
            <v>0.04</v>
          </cell>
        </row>
        <row r="60">
          <cell r="K60">
            <v>1532</v>
          </cell>
          <cell r="L60" t="str">
            <v>BUCHA REDU M/F PPR 63X40MM</v>
          </cell>
          <cell r="M60" t="str">
            <v>PPR</v>
          </cell>
          <cell r="N60">
            <v>0.04</v>
          </cell>
        </row>
        <row r="61">
          <cell r="K61">
            <v>1533</v>
          </cell>
          <cell r="L61" t="str">
            <v>BUCHA REDU M/F PPR 63X50MM</v>
          </cell>
          <cell r="M61" t="str">
            <v>PPR</v>
          </cell>
          <cell r="N61">
            <v>0.04</v>
          </cell>
        </row>
        <row r="62">
          <cell r="K62">
            <v>1534</v>
          </cell>
          <cell r="L62" t="str">
            <v>BUCHA REDU M/F PPR 75X50MM</v>
          </cell>
          <cell r="M62" t="str">
            <v>PPR</v>
          </cell>
          <cell r="N62">
            <v>0.04</v>
          </cell>
        </row>
        <row r="63">
          <cell r="K63">
            <v>1535</v>
          </cell>
          <cell r="L63" t="str">
            <v>BUCHA REDU M/F PPR 75X63MM</v>
          </cell>
          <cell r="M63" t="str">
            <v>PPR</v>
          </cell>
          <cell r="N63">
            <v>0.04</v>
          </cell>
        </row>
        <row r="64">
          <cell r="K64">
            <v>1536</v>
          </cell>
          <cell r="L64" t="str">
            <v>BUCHA REDU M/F PPR 90X63MM</v>
          </cell>
          <cell r="M64" t="str">
            <v>PPR</v>
          </cell>
          <cell r="N64">
            <v>0.04</v>
          </cell>
        </row>
        <row r="65">
          <cell r="K65">
            <v>1537</v>
          </cell>
          <cell r="L65" t="str">
            <v>BUCHA REDU M/F PPR 90X75MM</v>
          </cell>
          <cell r="M65" t="str">
            <v>PPR</v>
          </cell>
          <cell r="N65">
            <v>0.04</v>
          </cell>
        </row>
        <row r="66">
          <cell r="K66">
            <v>1538</v>
          </cell>
          <cell r="L66" t="str">
            <v>BUCHA REDU M/F PPR 110X75MM</v>
          </cell>
          <cell r="M66" t="str">
            <v>PPR</v>
          </cell>
          <cell r="N66">
            <v>0.04</v>
          </cell>
        </row>
        <row r="67">
          <cell r="K67">
            <v>1539</v>
          </cell>
          <cell r="L67" t="str">
            <v>BUCHA REDU M/F PPR 110X90MM</v>
          </cell>
          <cell r="M67" t="str">
            <v>PPR</v>
          </cell>
          <cell r="N67">
            <v>0.04</v>
          </cell>
        </row>
        <row r="68">
          <cell r="K68">
            <v>1540</v>
          </cell>
          <cell r="L68" t="str">
            <v>CAP PPR 20MM</v>
          </cell>
          <cell r="M68" t="str">
            <v>PPR</v>
          </cell>
          <cell r="N68">
            <v>0.04</v>
          </cell>
        </row>
        <row r="69">
          <cell r="K69">
            <v>1541</v>
          </cell>
          <cell r="L69" t="str">
            <v>CAP PPR 25MM</v>
          </cell>
          <cell r="M69" t="str">
            <v>PPR</v>
          </cell>
          <cell r="N69">
            <v>0.04</v>
          </cell>
        </row>
        <row r="70">
          <cell r="K70">
            <v>1542</v>
          </cell>
          <cell r="L70" t="str">
            <v>CAP PPR 32MM</v>
          </cell>
          <cell r="M70" t="str">
            <v>PPR</v>
          </cell>
          <cell r="N70">
            <v>0.04</v>
          </cell>
        </row>
        <row r="71">
          <cell r="K71">
            <v>1543</v>
          </cell>
          <cell r="L71" t="str">
            <v>CAP PPR 40MM</v>
          </cell>
          <cell r="M71" t="str">
            <v>PPR</v>
          </cell>
          <cell r="N71">
            <v>0.04</v>
          </cell>
        </row>
        <row r="72">
          <cell r="K72">
            <v>1544</v>
          </cell>
          <cell r="L72" t="str">
            <v>CAP PPR 50MM</v>
          </cell>
          <cell r="M72" t="str">
            <v>PPR</v>
          </cell>
          <cell r="N72">
            <v>0.04</v>
          </cell>
        </row>
        <row r="73">
          <cell r="K73">
            <v>1545</v>
          </cell>
          <cell r="L73" t="str">
            <v>CAP PPR 63MM</v>
          </cell>
          <cell r="M73" t="str">
            <v>PPR</v>
          </cell>
          <cell r="N73">
            <v>0.04</v>
          </cell>
        </row>
        <row r="74">
          <cell r="K74">
            <v>1546</v>
          </cell>
          <cell r="L74" t="str">
            <v>CAP PPR 75MM</v>
          </cell>
          <cell r="M74" t="str">
            <v>PPR</v>
          </cell>
          <cell r="N74">
            <v>0.04</v>
          </cell>
        </row>
        <row r="75">
          <cell r="K75">
            <v>1547</v>
          </cell>
          <cell r="L75" t="str">
            <v>CAP PPR 90MM</v>
          </cell>
          <cell r="M75" t="str">
            <v>PPR</v>
          </cell>
          <cell r="N75">
            <v>0.04</v>
          </cell>
        </row>
        <row r="76">
          <cell r="K76">
            <v>1548</v>
          </cell>
          <cell r="L76" t="str">
            <v>CAP PPR 110MM</v>
          </cell>
          <cell r="M76" t="str">
            <v>PPR</v>
          </cell>
          <cell r="N76">
            <v>0.04</v>
          </cell>
        </row>
        <row r="77">
          <cell r="K77">
            <v>1549</v>
          </cell>
          <cell r="L77" t="str">
            <v>CURVA 90 F/F PPR 20MM</v>
          </cell>
          <cell r="M77" t="str">
            <v>PPR</v>
          </cell>
          <cell r="N77">
            <v>0.04</v>
          </cell>
        </row>
        <row r="78">
          <cell r="K78">
            <v>1550</v>
          </cell>
          <cell r="L78" t="str">
            <v>CURVA 90 F/F PPR 25MM</v>
          </cell>
          <cell r="M78" t="str">
            <v>PPR</v>
          </cell>
          <cell r="N78">
            <v>0.04</v>
          </cell>
        </row>
        <row r="79">
          <cell r="K79">
            <v>1551</v>
          </cell>
          <cell r="L79" t="str">
            <v>CURVA 90 F/F PPR 32MM</v>
          </cell>
          <cell r="M79" t="str">
            <v>PPR</v>
          </cell>
          <cell r="N79">
            <v>0.04</v>
          </cell>
        </row>
        <row r="80">
          <cell r="K80">
            <v>1552</v>
          </cell>
          <cell r="L80" t="str">
            <v>CURVA TRANSP F/F PPR 20MM</v>
          </cell>
          <cell r="M80" t="str">
            <v>PPR</v>
          </cell>
          <cell r="N80">
            <v>0.04</v>
          </cell>
        </row>
        <row r="81">
          <cell r="K81">
            <v>1553</v>
          </cell>
          <cell r="L81" t="str">
            <v>CURVA TRANSP F/F PPR 25MM</v>
          </cell>
          <cell r="M81" t="str">
            <v>PPR</v>
          </cell>
          <cell r="N81">
            <v>0.04</v>
          </cell>
        </row>
        <row r="82">
          <cell r="K82">
            <v>1554</v>
          </cell>
          <cell r="L82" t="str">
            <v>CURVA TRANSP F/F PPR 32MM</v>
          </cell>
          <cell r="M82" t="str">
            <v>PPR</v>
          </cell>
          <cell r="N82">
            <v>0.04</v>
          </cell>
        </row>
        <row r="83">
          <cell r="K83">
            <v>1555</v>
          </cell>
          <cell r="L83" t="str">
            <v>JOELHO 45 F/F PPR 20MM</v>
          </cell>
          <cell r="M83" t="str">
            <v>PPR</v>
          </cell>
          <cell r="N83">
            <v>0.04</v>
          </cell>
        </row>
        <row r="84">
          <cell r="K84">
            <v>1556</v>
          </cell>
          <cell r="L84" t="str">
            <v>JOELHO 45 F/F PPR 25MM</v>
          </cell>
          <cell r="M84" t="str">
            <v>PPR</v>
          </cell>
          <cell r="N84">
            <v>0.04</v>
          </cell>
        </row>
        <row r="85">
          <cell r="K85">
            <v>1557</v>
          </cell>
          <cell r="L85" t="str">
            <v>JOELHO 45 F/F PPR 32MM</v>
          </cell>
          <cell r="M85" t="str">
            <v>PPR</v>
          </cell>
          <cell r="N85">
            <v>0.04</v>
          </cell>
        </row>
        <row r="86">
          <cell r="K86">
            <v>1558</v>
          </cell>
          <cell r="L86" t="str">
            <v>JOELHO 45 F/F PPR 40MM</v>
          </cell>
          <cell r="M86" t="str">
            <v>PPR</v>
          </cell>
          <cell r="N86">
            <v>0.04</v>
          </cell>
        </row>
        <row r="87">
          <cell r="K87">
            <v>1559</v>
          </cell>
          <cell r="L87" t="str">
            <v>JOELHO 45 F/F PPR 50MM</v>
          </cell>
          <cell r="M87" t="str">
            <v>PPR</v>
          </cell>
          <cell r="N87">
            <v>0.04</v>
          </cell>
        </row>
        <row r="88">
          <cell r="K88">
            <v>1560</v>
          </cell>
          <cell r="L88" t="str">
            <v>JOELHO 45 F/F PPR 63MM</v>
          </cell>
          <cell r="M88" t="str">
            <v>PPR</v>
          </cell>
          <cell r="N88">
            <v>0.04</v>
          </cell>
        </row>
        <row r="89">
          <cell r="K89">
            <v>1561</v>
          </cell>
          <cell r="L89" t="str">
            <v>JOELHO 45 F/F PPR 75MM</v>
          </cell>
          <cell r="M89" t="str">
            <v>PPR</v>
          </cell>
          <cell r="N89">
            <v>0.04</v>
          </cell>
        </row>
        <row r="90">
          <cell r="K90">
            <v>1562</v>
          </cell>
          <cell r="L90" t="str">
            <v>JOELHO 45 F/F PPR 90MM</v>
          </cell>
          <cell r="M90" t="str">
            <v>PPR</v>
          </cell>
          <cell r="N90">
            <v>0.04</v>
          </cell>
        </row>
        <row r="91">
          <cell r="K91">
            <v>1563</v>
          </cell>
          <cell r="L91" t="str">
            <v>JOELHO 45 F/F PPR 110MM</v>
          </cell>
          <cell r="M91" t="str">
            <v>PPR</v>
          </cell>
          <cell r="N91">
            <v>0.04</v>
          </cell>
        </row>
        <row r="92">
          <cell r="K92">
            <v>1564</v>
          </cell>
          <cell r="L92" t="str">
            <v>JOELHO 45 F/M PPR 20MM</v>
          </cell>
          <cell r="M92" t="str">
            <v>PPR</v>
          </cell>
          <cell r="N92">
            <v>0.04</v>
          </cell>
        </row>
        <row r="93">
          <cell r="K93">
            <v>1565</v>
          </cell>
          <cell r="L93" t="str">
            <v>JOELHO 45 F/M PPR 25MM</v>
          </cell>
          <cell r="M93" t="str">
            <v>PPR</v>
          </cell>
          <cell r="N93">
            <v>0.04</v>
          </cell>
        </row>
        <row r="94">
          <cell r="K94">
            <v>1566</v>
          </cell>
          <cell r="L94" t="str">
            <v>JOELHO 90 F/F INS MET PPR 20X1/2</v>
          </cell>
          <cell r="M94" t="str">
            <v>PPR</v>
          </cell>
          <cell r="N94">
            <v>0.04</v>
          </cell>
        </row>
        <row r="95">
          <cell r="K95">
            <v>1567</v>
          </cell>
          <cell r="L95" t="str">
            <v>JOELHO 90 F/F INS MET PPR 25X3/4</v>
          </cell>
          <cell r="M95" t="str">
            <v>PPR</v>
          </cell>
          <cell r="N95">
            <v>0.04</v>
          </cell>
        </row>
        <row r="96">
          <cell r="K96">
            <v>1568</v>
          </cell>
          <cell r="L96" t="str">
            <v>JOELHO 90 F/F INS MET PPR 32X3/4</v>
          </cell>
          <cell r="M96" t="str">
            <v>PPR</v>
          </cell>
          <cell r="N96">
            <v>0.04</v>
          </cell>
        </row>
        <row r="97">
          <cell r="K97">
            <v>1569</v>
          </cell>
          <cell r="L97" t="str">
            <v>JOELHO 90 F/F INS MET PPR 32X1</v>
          </cell>
          <cell r="M97" t="str">
            <v>PPR</v>
          </cell>
          <cell r="N97">
            <v>0.04</v>
          </cell>
        </row>
        <row r="98">
          <cell r="K98">
            <v>1570</v>
          </cell>
          <cell r="L98" t="str">
            <v>JOELHO 90 F/F PPR 20MM</v>
          </cell>
          <cell r="M98" t="str">
            <v>PPR</v>
          </cell>
          <cell r="N98">
            <v>0.04</v>
          </cell>
        </row>
        <row r="99">
          <cell r="K99">
            <v>1571</v>
          </cell>
          <cell r="L99" t="str">
            <v>JOELHO 90 F/F PPR 25MM</v>
          </cell>
          <cell r="M99" t="str">
            <v>PPR</v>
          </cell>
          <cell r="N99">
            <v>0.04</v>
          </cell>
        </row>
        <row r="100">
          <cell r="K100">
            <v>1572</v>
          </cell>
          <cell r="L100" t="str">
            <v>JOELHO 90 F/F PPR 32MM</v>
          </cell>
          <cell r="M100" t="str">
            <v>PPR</v>
          </cell>
          <cell r="N100">
            <v>0.04</v>
          </cell>
        </row>
        <row r="101">
          <cell r="K101">
            <v>1573</v>
          </cell>
          <cell r="L101" t="str">
            <v>JOELHO 90 F/F PPR 40MM</v>
          </cell>
          <cell r="M101" t="str">
            <v>PPR</v>
          </cell>
          <cell r="N101">
            <v>0.04</v>
          </cell>
        </row>
        <row r="102">
          <cell r="K102">
            <v>1574</v>
          </cell>
          <cell r="L102" t="str">
            <v>JOELHO 90 F/F PPR 50MM</v>
          </cell>
          <cell r="M102" t="str">
            <v>PPR</v>
          </cell>
          <cell r="N102">
            <v>0.04</v>
          </cell>
        </row>
        <row r="103">
          <cell r="K103">
            <v>1575</v>
          </cell>
          <cell r="L103" t="str">
            <v>JOELHO 90 F/F PPR 63MM</v>
          </cell>
          <cell r="M103" t="str">
            <v>PPR</v>
          </cell>
          <cell r="N103">
            <v>0.04</v>
          </cell>
        </row>
        <row r="104">
          <cell r="K104">
            <v>1576</v>
          </cell>
          <cell r="L104" t="str">
            <v>JOELHO 90 F/F PPR 75MM</v>
          </cell>
          <cell r="M104" t="str">
            <v>PPR</v>
          </cell>
          <cell r="N104">
            <v>0.04</v>
          </cell>
        </row>
        <row r="105">
          <cell r="K105">
            <v>1577</v>
          </cell>
          <cell r="L105" t="str">
            <v>JOELHO 90 F/F PPR 90MM</v>
          </cell>
          <cell r="M105" t="str">
            <v>PPR</v>
          </cell>
          <cell r="N105">
            <v>0.04</v>
          </cell>
        </row>
        <row r="106">
          <cell r="K106">
            <v>1578</v>
          </cell>
          <cell r="L106" t="str">
            <v>JOELHO 90 F/F PPR 110MM</v>
          </cell>
          <cell r="M106" t="str">
            <v>PPR</v>
          </cell>
          <cell r="N106">
            <v>0.04</v>
          </cell>
        </row>
        <row r="107">
          <cell r="K107">
            <v>1579</v>
          </cell>
          <cell r="L107" t="str">
            <v>JOELHO 90 F/M INS MET PPR 20X1/2</v>
          </cell>
          <cell r="M107" t="str">
            <v>PPR</v>
          </cell>
          <cell r="N107">
            <v>0.04</v>
          </cell>
        </row>
        <row r="108">
          <cell r="K108">
            <v>1580</v>
          </cell>
          <cell r="L108" t="str">
            <v>JOELHO 90 F/M INS MET PPR 25X3/4</v>
          </cell>
          <cell r="M108" t="str">
            <v>PPR</v>
          </cell>
          <cell r="N108">
            <v>0.04</v>
          </cell>
        </row>
        <row r="109">
          <cell r="K109">
            <v>1581</v>
          </cell>
          <cell r="L109" t="str">
            <v>JOELHO 90 F/M INS MET PPR 32X3/4</v>
          </cell>
          <cell r="M109" t="str">
            <v>PPR</v>
          </cell>
          <cell r="N109">
            <v>0.04</v>
          </cell>
        </row>
        <row r="110">
          <cell r="K110">
            <v>1582</v>
          </cell>
          <cell r="L110" t="str">
            <v>JOELHO 90 F/M INS MET PPR 32X1</v>
          </cell>
          <cell r="M110" t="str">
            <v>PPR</v>
          </cell>
          <cell r="N110">
            <v>0.04</v>
          </cell>
        </row>
        <row r="111">
          <cell r="K111">
            <v>1583</v>
          </cell>
          <cell r="L111" t="str">
            <v>JOELHO 90 F/M PPR 20MM</v>
          </cell>
          <cell r="M111" t="str">
            <v>PPR</v>
          </cell>
          <cell r="N111">
            <v>0.04</v>
          </cell>
        </row>
        <row r="112">
          <cell r="K112">
            <v>1584</v>
          </cell>
          <cell r="L112" t="str">
            <v>JOELHO 90 F/M PPR 25MM</v>
          </cell>
          <cell r="M112" t="str">
            <v>PPR</v>
          </cell>
          <cell r="N112">
            <v>0.04</v>
          </cell>
        </row>
        <row r="113">
          <cell r="K113">
            <v>1585</v>
          </cell>
          <cell r="L113" t="str">
            <v>JOELHO 90 F/M PPR 32MM</v>
          </cell>
          <cell r="M113" t="str">
            <v>PPR</v>
          </cell>
          <cell r="N113">
            <v>0.04</v>
          </cell>
        </row>
        <row r="114">
          <cell r="K114">
            <v>1586</v>
          </cell>
          <cell r="L114" t="str">
            <v>LUVA REDU F/F PPR 25X20MM</v>
          </cell>
          <cell r="M114" t="str">
            <v>PPR</v>
          </cell>
          <cell r="N114">
            <v>0.04</v>
          </cell>
        </row>
        <row r="115">
          <cell r="K115">
            <v>1587</v>
          </cell>
          <cell r="L115" t="str">
            <v>LUVA REDU F/F PPR 32X20MM</v>
          </cell>
          <cell r="M115" t="str">
            <v>PPR</v>
          </cell>
          <cell r="N115">
            <v>0.04</v>
          </cell>
        </row>
        <row r="116">
          <cell r="K116">
            <v>1588</v>
          </cell>
          <cell r="L116" t="str">
            <v>LUVA REDU F/F PPR 32X25MM</v>
          </cell>
          <cell r="M116" t="str">
            <v>PPR</v>
          </cell>
          <cell r="N116">
            <v>0.04</v>
          </cell>
        </row>
        <row r="117">
          <cell r="K117">
            <v>1589</v>
          </cell>
          <cell r="L117" t="str">
            <v>LUVA SIMPLES F/F PPR 20MM</v>
          </cell>
          <cell r="M117" t="str">
            <v>PPR</v>
          </cell>
          <cell r="N117">
            <v>0.04</v>
          </cell>
        </row>
        <row r="118">
          <cell r="K118">
            <v>1590</v>
          </cell>
          <cell r="L118" t="str">
            <v>LUVA SIMPLES F/F PPR 25MM</v>
          </cell>
          <cell r="M118" t="str">
            <v>PPR</v>
          </cell>
          <cell r="N118">
            <v>0.04</v>
          </cell>
        </row>
        <row r="119">
          <cell r="K119">
            <v>1591</v>
          </cell>
          <cell r="L119" t="str">
            <v>LUVA SIMPLES F/F PPR 32MM</v>
          </cell>
          <cell r="M119" t="str">
            <v>PPR</v>
          </cell>
          <cell r="N119">
            <v>0.04</v>
          </cell>
        </row>
        <row r="120">
          <cell r="K120">
            <v>1592</v>
          </cell>
          <cell r="L120" t="str">
            <v>LUVA SIMPLES F/F PPR 40MM</v>
          </cell>
          <cell r="M120" t="str">
            <v>PPR</v>
          </cell>
          <cell r="N120">
            <v>0.04</v>
          </cell>
        </row>
        <row r="121">
          <cell r="K121">
            <v>1593</v>
          </cell>
          <cell r="L121" t="str">
            <v>LUVA SIMPLES F/F PPR 50MM</v>
          </cell>
          <cell r="M121" t="str">
            <v>PPR</v>
          </cell>
          <cell r="N121">
            <v>0.04</v>
          </cell>
        </row>
        <row r="122">
          <cell r="K122">
            <v>1594</v>
          </cell>
          <cell r="L122" t="str">
            <v>LUVA SIMPLES F/F PPR 63MM</v>
          </cell>
          <cell r="M122" t="str">
            <v>PPR</v>
          </cell>
          <cell r="N122">
            <v>0.04</v>
          </cell>
        </row>
        <row r="123">
          <cell r="K123">
            <v>1595</v>
          </cell>
          <cell r="L123" t="str">
            <v>LUVA SIMPLES F/F PPR 75MM</v>
          </cell>
          <cell r="M123" t="str">
            <v>PPR</v>
          </cell>
          <cell r="N123">
            <v>0.04</v>
          </cell>
        </row>
        <row r="124">
          <cell r="K124">
            <v>1596</v>
          </cell>
          <cell r="L124" t="str">
            <v>LUVA SIMPLES F/F PPR 90MM</v>
          </cell>
          <cell r="M124" t="str">
            <v>PPR</v>
          </cell>
          <cell r="N124">
            <v>0.04</v>
          </cell>
        </row>
        <row r="125">
          <cell r="K125">
            <v>1597</v>
          </cell>
          <cell r="L125" t="str">
            <v>LUVA SIMPLES F/F PPR 110MM</v>
          </cell>
          <cell r="M125" t="str">
            <v>PPR</v>
          </cell>
          <cell r="N125">
            <v>0.04</v>
          </cell>
        </row>
        <row r="126">
          <cell r="K126">
            <v>1598</v>
          </cell>
          <cell r="L126" t="str">
            <v>MISTURADOR F/M/M PPR 20MM</v>
          </cell>
          <cell r="M126" t="str">
            <v>PPR</v>
          </cell>
          <cell r="N126">
            <v>0.04</v>
          </cell>
        </row>
        <row r="127">
          <cell r="K127">
            <v>1599</v>
          </cell>
          <cell r="L127" t="str">
            <v>MISTURADOR F/M/M PPR 25MM</v>
          </cell>
          <cell r="M127" t="str">
            <v>PPR</v>
          </cell>
          <cell r="N127">
            <v>0.04</v>
          </cell>
        </row>
        <row r="128">
          <cell r="K128">
            <v>1770</v>
          </cell>
          <cell r="L128" t="str">
            <v>MISTURADOR INS MET F/F/F PPR 20X1/2</v>
          </cell>
          <cell r="M128" t="str">
            <v>PPR</v>
          </cell>
          <cell r="N128">
            <v>0.04</v>
          </cell>
        </row>
        <row r="129">
          <cell r="K129">
            <v>1771</v>
          </cell>
          <cell r="L129" t="str">
            <v>MISTURADOR INS MET F/F/F PPR 25X3/4</v>
          </cell>
          <cell r="M129" t="str">
            <v>PPR</v>
          </cell>
          <cell r="N129">
            <v>0.04</v>
          </cell>
        </row>
        <row r="130">
          <cell r="K130">
            <v>1772</v>
          </cell>
          <cell r="L130" t="str">
            <v>PLUG PPR 1/2</v>
          </cell>
          <cell r="M130" t="str">
            <v>PPR</v>
          </cell>
          <cell r="N130">
            <v>0.04</v>
          </cell>
        </row>
        <row r="131">
          <cell r="K131">
            <v>1773</v>
          </cell>
          <cell r="L131" t="str">
            <v>PLUG PPR 3/4</v>
          </cell>
          <cell r="M131" t="str">
            <v>PPR</v>
          </cell>
          <cell r="N131">
            <v>0.04</v>
          </cell>
        </row>
        <row r="132">
          <cell r="K132">
            <v>1786</v>
          </cell>
          <cell r="L132" t="str">
            <v>TARUGOS PARA REPAROS PPR 8MM</v>
          </cell>
          <cell r="M132" t="str">
            <v>PPR</v>
          </cell>
          <cell r="N132">
            <v>0.04</v>
          </cell>
        </row>
        <row r="133">
          <cell r="K133">
            <v>1787</v>
          </cell>
          <cell r="L133" t="str">
            <v>TE F/F/F CENT INS MET PPR 20X1/2X20</v>
          </cell>
          <cell r="M133" t="str">
            <v>PPR</v>
          </cell>
          <cell r="N133">
            <v>0.04</v>
          </cell>
        </row>
        <row r="134">
          <cell r="K134">
            <v>1788</v>
          </cell>
          <cell r="L134" t="str">
            <v>TE F/F/F CENT INS MET PPR 25X1/2X25</v>
          </cell>
          <cell r="M134" t="str">
            <v>PPR</v>
          </cell>
          <cell r="N134">
            <v>0.04</v>
          </cell>
        </row>
        <row r="135">
          <cell r="K135">
            <v>1789</v>
          </cell>
          <cell r="L135" t="str">
            <v>TE F/F/F CENT INS MET PPR 25X3/4X25</v>
          </cell>
          <cell r="M135" t="str">
            <v>PPR</v>
          </cell>
          <cell r="N135">
            <v>0.04</v>
          </cell>
        </row>
        <row r="136">
          <cell r="K136">
            <v>1790</v>
          </cell>
          <cell r="L136" t="str">
            <v>TE F/F/F CENT INS MET PPR 32X1/2X32</v>
          </cell>
          <cell r="M136" t="str">
            <v>PPR</v>
          </cell>
          <cell r="N136">
            <v>0.04</v>
          </cell>
        </row>
        <row r="137">
          <cell r="K137">
            <v>1791</v>
          </cell>
          <cell r="L137" t="str">
            <v>TE F/F/F CENT INS MET PPR 32X3/4X32</v>
          </cell>
          <cell r="M137" t="str">
            <v>PPR</v>
          </cell>
          <cell r="N137">
            <v>0.04</v>
          </cell>
        </row>
        <row r="138">
          <cell r="K138">
            <v>1792</v>
          </cell>
          <cell r="L138" t="str">
            <v>TE F/F/F CENT INS MET PPR 32X1X32</v>
          </cell>
          <cell r="M138" t="str">
            <v>PPR</v>
          </cell>
          <cell r="N138">
            <v>0.04</v>
          </cell>
        </row>
        <row r="139">
          <cell r="K139">
            <v>1793</v>
          </cell>
          <cell r="L139" t="str">
            <v>TE F/F/F PPR 20MM</v>
          </cell>
          <cell r="M139" t="str">
            <v>PPR</v>
          </cell>
          <cell r="N139">
            <v>0.04</v>
          </cell>
        </row>
        <row r="140">
          <cell r="K140">
            <v>1794</v>
          </cell>
          <cell r="L140" t="str">
            <v>TE F/F/F PPR 25MM</v>
          </cell>
          <cell r="M140" t="str">
            <v>PPR</v>
          </cell>
          <cell r="N140">
            <v>0.04</v>
          </cell>
        </row>
        <row r="141">
          <cell r="K141">
            <v>1795</v>
          </cell>
          <cell r="L141" t="str">
            <v>TE F/F/F PPR 32MM</v>
          </cell>
          <cell r="M141" t="str">
            <v>PPR</v>
          </cell>
          <cell r="N141">
            <v>0.04</v>
          </cell>
        </row>
        <row r="142">
          <cell r="K142">
            <v>1796</v>
          </cell>
          <cell r="L142" t="str">
            <v>TE F/F/F PPR 40MM</v>
          </cell>
          <cell r="M142" t="str">
            <v>PPR</v>
          </cell>
          <cell r="N142">
            <v>0.04</v>
          </cell>
        </row>
        <row r="143">
          <cell r="K143">
            <v>1797</v>
          </cell>
          <cell r="L143" t="str">
            <v>TE F/F/F PPR 50MM</v>
          </cell>
          <cell r="M143" t="str">
            <v>PPR</v>
          </cell>
          <cell r="N143">
            <v>0.04</v>
          </cell>
        </row>
        <row r="144">
          <cell r="K144">
            <v>1798</v>
          </cell>
          <cell r="L144" t="str">
            <v>TE F/F/F PPR 63MM</v>
          </cell>
          <cell r="M144" t="str">
            <v>PPR</v>
          </cell>
          <cell r="N144">
            <v>0.04</v>
          </cell>
        </row>
        <row r="145">
          <cell r="K145">
            <v>1799</v>
          </cell>
          <cell r="L145" t="str">
            <v>TE F/F/F PPR 75MM</v>
          </cell>
          <cell r="M145" t="str">
            <v>PPR</v>
          </cell>
          <cell r="N145">
            <v>0.04</v>
          </cell>
        </row>
        <row r="146">
          <cell r="K146">
            <v>1802</v>
          </cell>
          <cell r="L146" t="str">
            <v>TE F/F/F REDU CENT PPR 25X20X25MM</v>
          </cell>
          <cell r="M146" t="str">
            <v>PPR</v>
          </cell>
          <cell r="N146">
            <v>0.04</v>
          </cell>
        </row>
        <row r="147">
          <cell r="K147">
            <v>1803</v>
          </cell>
          <cell r="L147" t="str">
            <v>TE F/F/F REDU CENT PPR 32X20X32MM</v>
          </cell>
          <cell r="M147" t="str">
            <v>PPR</v>
          </cell>
          <cell r="N147">
            <v>0.04</v>
          </cell>
        </row>
        <row r="148">
          <cell r="K148">
            <v>1804</v>
          </cell>
          <cell r="L148" t="str">
            <v>TE F/F/F REDU CENT PPR 32X25X32MM</v>
          </cell>
          <cell r="M148" t="str">
            <v>PPR</v>
          </cell>
          <cell r="N148">
            <v>0.04</v>
          </cell>
        </row>
        <row r="149">
          <cell r="K149">
            <v>1805</v>
          </cell>
          <cell r="L149" t="str">
            <v>TE F/F/F REDU CENT PPR 40X25X40MM</v>
          </cell>
          <cell r="M149" t="str">
            <v>PPR</v>
          </cell>
          <cell r="N149">
            <v>0.04</v>
          </cell>
        </row>
        <row r="150">
          <cell r="K150">
            <v>1806</v>
          </cell>
          <cell r="L150" t="str">
            <v>TE F/F/F REDU CENT PPR 40X32X40MM</v>
          </cell>
          <cell r="M150" t="str">
            <v>PPR</v>
          </cell>
          <cell r="N150">
            <v>0.04</v>
          </cell>
        </row>
        <row r="151">
          <cell r="K151">
            <v>1807</v>
          </cell>
          <cell r="L151" t="str">
            <v>TE F/F/F REDU CENT PPR 50X25X50MM</v>
          </cell>
          <cell r="M151" t="str">
            <v>PPR</v>
          </cell>
          <cell r="N151">
            <v>0.04</v>
          </cell>
        </row>
        <row r="152">
          <cell r="K152">
            <v>1808</v>
          </cell>
          <cell r="L152" t="str">
            <v>TE F/F/F REDU CENT PPR 50X32X50MM</v>
          </cell>
          <cell r="M152" t="str">
            <v>PPR</v>
          </cell>
          <cell r="N152">
            <v>0.04</v>
          </cell>
        </row>
        <row r="153">
          <cell r="K153">
            <v>1809</v>
          </cell>
          <cell r="L153" t="str">
            <v>TE F/F/F REDU CENT PPR 50X40X50MM</v>
          </cell>
          <cell r="M153" t="str">
            <v>PPR</v>
          </cell>
          <cell r="N153">
            <v>0.04</v>
          </cell>
        </row>
        <row r="154">
          <cell r="K154">
            <v>1810</v>
          </cell>
          <cell r="L154" t="str">
            <v>TE F/F/F REDU CENT PPR 63X40X63MM</v>
          </cell>
          <cell r="M154" t="str">
            <v>PPR</v>
          </cell>
          <cell r="N154">
            <v>0.04</v>
          </cell>
        </row>
        <row r="155">
          <cell r="K155">
            <v>1811</v>
          </cell>
          <cell r="L155" t="str">
            <v>TE F/F/F REDU CENT PPR 63X50X63MM</v>
          </cell>
          <cell r="M155" t="str">
            <v>PPR</v>
          </cell>
          <cell r="N155">
            <v>0.04</v>
          </cell>
        </row>
        <row r="156">
          <cell r="K156">
            <v>1812</v>
          </cell>
          <cell r="L156" t="str">
            <v>TE F/F/F REDU CENT PPR 75X50X75MM</v>
          </cell>
          <cell r="M156" t="str">
            <v>PPR</v>
          </cell>
          <cell r="N156">
            <v>0.04</v>
          </cell>
        </row>
        <row r="157">
          <cell r="K157">
            <v>1813</v>
          </cell>
          <cell r="L157" t="str">
            <v>TE F/F/F REDU CENT PPR 75X63X75MM</v>
          </cell>
          <cell r="M157" t="str">
            <v>PPR</v>
          </cell>
          <cell r="N157">
            <v>0.04</v>
          </cell>
        </row>
        <row r="158">
          <cell r="K158">
            <v>1814</v>
          </cell>
          <cell r="L158" t="str">
            <v>TE F/F/F REDU CENT PPR 90X63X90MM</v>
          </cell>
          <cell r="M158" t="str">
            <v>PPR</v>
          </cell>
          <cell r="N158">
            <v>0.04</v>
          </cell>
        </row>
        <row r="159">
          <cell r="K159">
            <v>1815</v>
          </cell>
          <cell r="L159" t="str">
            <v>TE F/F/F REDU CENT PPR 90X75X90MM</v>
          </cell>
          <cell r="M159" t="str">
            <v>PPR</v>
          </cell>
          <cell r="N159">
            <v>0.04</v>
          </cell>
        </row>
        <row r="160">
          <cell r="K160">
            <v>1816</v>
          </cell>
          <cell r="L160" t="str">
            <v>TE F/F/F REDU CENT PPR 110X75X110MM</v>
          </cell>
          <cell r="M160" t="str">
            <v>PPR</v>
          </cell>
          <cell r="N160">
            <v>0.04</v>
          </cell>
        </row>
        <row r="161">
          <cell r="K161">
            <v>1817</v>
          </cell>
          <cell r="L161" t="str">
            <v>TE F/F/F REDU CENT PPR 110X90X110MM</v>
          </cell>
          <cell r="M161" t="str">
            <v>PPR</v>
          </cell>
          <cell r="N161">
            <v>0.04</v>
          </cell>
        </row>
        <row r="162">
          <cell r="K162">
            <v>1818</v>
          </cell>
          <cell r="L162" t="str">
            <v>TE F/M/F CENT INS MET PPR 20X1/2X20</v>
          </cell>
          <cell r="M162" t="str">
            <v>PPR</v>
          </cell>
          <cell r="N162">
            <v>0.04</v>
          </cell>
        </row>
        <row r="163">
          <cell r="K163">
            <v>1819</v>
          </cell>
          <cell r="L163" t="str">
            <v>TE F/M/F CENT INS MET PPR 25X1/2X25</v>
          </cell>
          <cell r="M163" t="str">
            <v>PPR</v>
          </cell>
          <cell r="N163">
            <v>0.04</v>
          </cell>
        </row>
        <row r="164">
          <cell r="K164">
            <v>1820</v>
          </cell>
          <cell r="L164" t="str">
            <v>TE F/M/F CENT INS MET PPR 25X3/4X25</v>
          </cell>
          <cell r="M164" t="str">
            <v>PPR</v>
          </cell>
          <cell r="N164">
            <v>0.04</v>
          </cell>
        </row>
        <row r="165">
          <cell r="K165">
            <v>1821</v>
          </cell>
          <cell r="L165" t="str">
            <v>TE F/M/F CENT INS MET PPR 32X1/2X32</v>
          </cell>
          <cell r="M165" t="str">
            <v>PPR</v>
          </cell>
          <cell r="N165">
            <v>0.04</v>
          </cell>
        </row>
        <row r="166">
          <cell r="K166">
            <v>1822</v>
          </cell>
          <cell r="L166" t="str">
            <v>TE F/M/F CENT INS MET PPR 32X3/4X32</v>
          </cell>
          <cell r="M166" t="str">
            <v>PPR</v>
          </cell>
          <cell r="N166">
            <v>0.04</v>
          </cell>
        </row>
        <row r="167">
          <cell r="K167">
            <v>1823</v>
          </cell>
          <cell r="L167" t="str">
            <v>TE F/M/F CENT INS MET PPR 32X1X32</v>
          </cell>
          <cell r="M167" t="str">
            <v>PPR</v>
          </cell>
          <cell r="N167">
            <v>0.04</v>
          </cell>
        </row>
        <row r="168">
          <cell r="K168">
            <v>1824</v>
          </cell>
          <cell r="L168" t="str">
            <v>UNIAO PPR 20MM</v>
          </cell>
          <cell r="M168" t="str">
            <v>PPR</v>
          </cell>
          <cell r="N168">
            <v>0.04</v>
          </cell>
        </row>
        <row r="169">
          <cell r="K169">
            <v>1825</v>
          </cell>
          <cell r="L169" t="str">
            <v>UNIAO PPR 25MM</v>
          </cell>
          <cell r="M169" t="str">
            <v>PPR</v>
          </cell>
          <cell r="N169">
            <v>0.04</v>
          </cell>
        </row>
        <row r="170">
          <cell r="K170">
            <v>1826</v>
          </cell>
          <cell r="L170" t="str">
            <v>UNIAO PPR 32MM</v>
          </cell>
          <cell r="M170" t="str">
            <v>PPR</v>
          </cell>
          <cell r="N170">
            <v>0.04</v>
          </cell>
        </row>
        <row r="171">
          <cell r="K171">
            <v>1827</v>
          </cell>
          <cell r="L171" t="str">
            <v>BOCAL M/F 20MM</v>
          </cell>
          <cell r="M171" t="str">
            <v>PPR</v>
          </cell>
          <cell r="N171">
            <v>0.04</v>
          </cell>
        </row>
        <row r="172">
          <cell r="K172">
            <v>1828</v>
          </cell>
          <cell r="L172" t="str">
            <v>BOCAL M/F 25MM</v>
          </cell>
          <cell r="M172" t="str">
            <v>PPR</v>
          </cell>
          <cell r="N172">
            <v>0.04</v>
          </cell>
        </row>
        <row r="173">
          <cell r="K173">
            <v>1829</v>
          </cell>
          <cell r="L173" t="str">
            <v>BOCAL M/F 32MM</v>
          </cell>
          <cell r="M173" t="str">
            <v>PPR</v>
          </cell>
          <cell r="N173">
            <v>0.04</v>
          </cell>
        </row>
        <row r="174">
          <cell r="K174">
            <v>1830</v>
          </cell>
          <cell r="L174" t="str">
            <v>BOCAL M/F 40MM</v>
          </cell>
          <cell r="M174" t="str">
            <v>PPR</v>
          </cell>
          <cell r="N174">
            <v>0.04</v>
          </cell>
        </row>
        <row r="175">
          <cell r="K175">
            <v>1831</v>
          </cell>
          <cell r="L175" t="str">
            <v>BOCAL M/F 50MM</v>
          </cell>
          <cell r="M175" t="str">
            <v>PPR</v>
          </cell>
          <cell r="N175">
            <v>0.04</v>
          </cell>
        </row>
        <row r="176">
          <cell r="K176">
            <v>1832</v>
          </cell>
          <cell r="L176" t="str">
            <v>BOCAL M/F 63MM</v>
          </cell>
          <cell r="M176" t="str">
            <v>PPR</v>
          </cell>
          <cell r="N176">
            <v>0.04</v>
          </cell>
        </row>
        <row r="177">
          <cell r="K177">
            <v>1833</v>
          </cell>
          <cell r="L177" t="str">
            <v>BOCAL M/F 75MM</v>
          </cell>
          <cell r="M177" t="str">
            <v>PPR</v>
          </cell>
          <cell r="N177">
            <v>0.04</v>
          </cell>
        </row>
        <row r="178">
          <cell r="K178">
            <v>1834</v>
          </cell>
          <cell r="L178" t="str">
            <v>BOCAL M/F 90MM</v>
          </cell>
          <cell r="M178" t="str">
            <v>PPR</v>
          </cell>
          <cell r="N178">
            <v>0.04</v>
          </cell>
        </row>
        <row r="179">
          <cell r="K179">
            <v>1835</v>
          </cell>
          <cell r="L179" t="str">
            <v>BOCAL M/F 110MM</v>
          </cell>
          <cell r="M179" t="str">
            <v>PPR</v>
          </cell>
          <cell r="N179">
            <v>0.04</v>
          </cell>
        </row>
        <row r="180">
          <cell r="K180">
            <v>1836</v>
          </cell>
          <cell r="L180" t="str">
            <v>CORTA-TUBOS PARA PPR DE 50 A 110MM</v>
          </cell>
          <cell r="M180" t="str">
            <v>PPR</v>
          </cell>
          <cell r="N180">
            <v>0.04</v>
          </cell>
        </row>
        <row r="181">
          <cell r="K181">
            <v>1838</v>
          </cell>
          <cell r="L181" t="str">
            <v>TESOURA PARA CORTE DE TUBO PPR</v>
          </cell>
          <cell r="M181" t="str">
            <v>PPR</v>
          </cell>
          <cell r="N181">
            <v>0.04</v>
          </cell>
        </row>
        <row r="182">
          <cell r="K182">
            <v>1840</v>
          </cell>
          <cell r="L182" t="str">
            <v>TERMOFUSOR 110V R63</v>
          </cell>
          <cell r="M182" t="str">
            <v>PPR</v>
          </cell>
          <cell r="N182">
            <v>0.04</v>
          </cell>
        </row>
        <row r="183">
          <cell r="K183">
            <v>1841</v>
          </cell>
          <cell r="L183" t="str">
            <v>TERMOFUSOR 1000W/220V R63</v>
          </cell>
          <cell r="M183" t="str">
            <v>PPR</v>
          </cell>
          <cell r="N183">
            <v>0.04</v>
          </cell>
        </row>
        <row r="184">
          <cell r="K184">
            <v>1842</v>
          </cell>
          <cell r="L184" t="str">
            <v>TERMOFUSOR 220V R110</v>
          </cell>
          <cell r="M184" t="str">
            <v>PPR</v>
          </cell>
          <cell r="N184">
            <v>0.04</v>
          </cell>
        </row>
        <row r="185">
          <cell r="K185">
            <v>1844</v>
          </cell>
          <cell r="L185" t="str">
            <v>TERMOFUSOR 800W/110V R63</v>
          </cell>
          <cell r="M185" t="str">
            <v>PPR</v>
          </cell>
          <cell r="N185">
            <v>0.04</v>
          </cell>
        </row>
        <row r="186">
          <cell r="K186">
            <v>1845</v>
          </cell>
          <cell r="L186" t="str">
            <v>JOELHO 90 F/F INS MET PPR 25X1/2</v>
          </cell>
          <cell r="M186" t="str">
            <v>PPR</v>
          </cell>
          <cell r="N186">
            <v>0.04</v>
          </cell>
        </row>
        <row r="187">
          <cell r="K187">
            <v>1846</v>
          </cell>
          <cell r="L187" t="str">
            <v>JOELHO 45 M/F PPR 32MM</v>
          </cell>
          <cell r="M187" t="str">
            <v>PPR</v>
          </cell>
          <cell r="N187">
            <v>0.04</v>
          </cell>
        </row>
        <row r="188">
          <cell r="K188">
            <v>1889</v>
          </cell>
          <cell r="L188" t="str">
            <v>BOCAL P/ REPARAR TUBULACAO 7MM</v>
          </cell>
          <cell r="M188" t="str">
            <v>PPR</v>
          </cell>
          <cell r="N188">
            <v>0.04</v>
          </cell>
        </row>
        <row r="189">
          <cell r="K189">
            <v>1890</v>
          </cell>
          <cell r="L189" t="str">
            <v>BOCAL P/ REPARAR TUBULACAO 11MM</v>
          </cell>
          <cell r="M189" t="str">
            <v>PPR</v>
          </cell>
          <cell r="N189">
            <v>0.04</v>
          </cell>
        </row>
        <row r="190">
          <cell r="K190">
            <v>1892</v>
          </cell>
          <cell r="L190" t="str">
            <v>TE F/F/F PPR 90MM</v>
          </cell>
          <cell r="M190" t="str">
            <v>PPR</v>
          </cell>
          <cell r="N190">
            <v>0.04</v>
          </cell>
        </row>
        <row r="191">
          <cell r="K191">
            <v>1893</v>
          </cell>
          <cell r="L191" t="str">
            <v>TE F/F/F PPR 110MM</v>
          </cell>
          <cell r="M191" t="str">
            <v>PPR</v>
          </cell>
          <cell r="N191">
            <v>0.04</v>
          </cell>
        </row>
        <row r="192">
          <cell r="K192">
            <v>50</v>
          </cell>
          <cell r="L192" t="str">
            <v>TUBO ULTRATERM 3M - 15MM</v>
          </cell>
          <cell r="M192" t="str">
            <v>CPVC</v>
          </cell>
          <cell r="N192">
            <v>0.04</v>
          </cell>
        </row>
        <row r="193">
          <cell r="K193">
            <v>51</v>
          </cell>
          <cell r="L193" t="str">
            <v>TUBO ULTRATERM 3M - 22MM</v>
          </cell>
          <cell r="M193" t="str">
            <v>CPVC</v>
          </cell>
          <cell r="N193">
            <v>0.04</v>
          </cell>
        </row>
        <row r="194">
          <cell r="K194">
            <v>52</v>
          </cell>
          <cell r="L194" t="str">
            <v>TUBO ULTRATERM 3M - 28MM</v>
          </cell>
          <cell r="M194" t="str">
            <v>CPVC</v>
          </cell>
          <cell r="N194">
            <v>0.04</v>
          </cell>
        </row>
        <row r="195">
          <cell r="K195">
            <v>1300</v>
          </cell>
          <cell r="L195" t="str">
            <v>FITA ISOLANTE ANTI-CHAMA C/CELOF.19MM X  5M</v>
          </cell>
          <cell r="M195" t="str">
            <v>FITA ISOLANTE</v>
          </cell>
          <cell r="N195">
            <v>0.04</v>
          </cell>
        </row>
        <row r="196">
          <cell r="K196">
            <v>1301</v>
          </cell>
          <cell r="L196" t="str">
            <v>FITA ISOLANTE ANTI-CHAMA C/CELOF.19MM X 10M</v>
          </cell>
          <cell r="M196" t="str">
            <v>FITA ISOLANTE</v>
          </cell>
          <cell r="N196">
            <v>0.04</v>
          </cell>
        </row>
        <row r="197">
          <cell r="K197">
            <v>1302</v>
          </cell>
          <cell r="L197" t="str">
            <v>FITA ISOLANTE ANTI-CHAMA C/CELOF.19MM X 20M</v>
          </cell>
          <cell r="M197" t="str">
            <v>FITA ISOLANTE</v>
          </cell>
          <cell r="N197">
            <v>0.04</v>
          </cell>
        </row>
        <row r="198">
          <cell r="K198">
            <v>1354</v>
          </cell>
          <cell r="L198" t="str">
            <v>LUVA DE CORRER ULTRATERM  - 15MM</v>
          </cell>
          <cell r="M198" t="str">
            <v>CPVC</v>
          </cell>
          <cell r="N198">
            <v>0.04</v>
          </cell>
        </row>
        <row r="199">
          <cell r="K199">
            <v>1355</v>
          </cell>
          <cell r="L199" t="str">
            <v>LUVA DE CORRER ULTRATERM  - 22MM</v>
          </cell>
          <cell r="M199" t="str">
            <v>CPVC</v>
          </cell>
          <cell r="N199">
            <v>0.04</v>
          </cell>
        </row>
        <row r="200">
          <cell r="K200">
            <v>1356</v>
          </cell>
          <cell r="L200" t="str">
            <v>LUVA DE CORRER ULTRATERM  - 28MM</v>
          </cell>
          <cell r="M200" t="str">
            <v>CPVC</v>
          </cell>
          <cell r="N200">
            <v>0.04</v>
          </cell>
        </row>
        <row r="201">
          <cell r="K201">
            <v>1360</v>
          </cell>
          <cell r="L201" t="str">
            <v>LUVA TRANSICAO F/F ULTRATERM X SOLD- 15X20MM</v>
          </cell>
          <cell r="M201" t="str">
            <v>CPVC</v>
          </cell>
          <cell r="N201">
            <v>0.04</v>
          </cell>
        </row>
        <row r="202">
          <cell r="K202">
            <v>1361</v>
          </cell>
          <cell r="L202" t="str">
            <v>LUVA TRANSICAO F/F ULTRATERM X SOLD- 22X25MM</v>
          </cell>
          <cell r="M202" t="str">
            <v>CPVC</v>
          </cell>
          <cell r="N202">
            <v>0.04</v>
          </cell>
        </row>
        <row r="203">
          <cell r="K203">
            <v>1369</v>
          </cell>
          <cell r="L203" t="str">
            <v>TE MISTURADOR RF ULTRATERM - 15 X 1/2</v>
          </cell>
          <cell r="M203" t="str">
            <v>CPVC</v>
          </cell>
          <cell r="N203">
            <v>0.04</v>
          </cell>
        </row>
        <row r="204">
          <cell r="K204">
            <v>1370</v>
          </cell>
          <cell r="L204" t="str">
            <v>TE MISTURADOR RF ULTRATERM - 22 X 3/4</v>
          </cell>
          <cell r="M204" t="str">
            <v>CPVC</v>
          </cell>
          <cell r="N204">
            <v>0.04</v>
          </cell>
        </row>
        <row r="205">
          <cell r="K205">
            <v>1377</v>
          </cell>
          <cell r="L205" t="str">
            <v>TE MISTURADOR M/F/M ULTRATERM - 15MM</v>
          </cell>
          <cell r="M205" t="str">
            <v>CPVC</v>
          </cell>
          <cell r="N205">
            <v>0.04</v>
          </cell>
        </row>
        <row r="206">
          <cell r="K206">
            <v>1378</v>
          </cell>
          <cell r="L206" t="str">
            <v>TE MISTURADOR M/F/M ULTRATERM - 22MM</v>
          </cell>
          <cell r="M206" t="str">
            <v>CPVC</v>
          </cell>
          <cell r="N206">
            <v>0.04</v>
          </cell>
        </row>
        <row r="207">
          <cell r="K207">
            <v>1379</v>
          </cell>
          <cell r="L207" t="str">
            <v>UNIAO F/F ULTRATERM - 15MM</v>
          </cell>
          <cell r="M207" t="str">
            <v>CPVC</v>
          </cell>
          <cell r="N207">
            <v>0.04</v>
          </cell>
        </row>
        <row r="208">
          <cell r="K208">
            <v>1380</v>
          </cell>
          <cell r="L208" t="str">
            <v>UNIAO F/F ULTRATERM - 22MM</v>
          </cell>
          <cell r="M208" t="str">
            <v>CPVC</v>
          </cell>
          <cell r="N208">
            <v>0.04</v>
          </cell>
        </row>
        <row r="209">
          <cell r="K209">
            <v>1381</v>
          </cell>
          <cell r="L209" t="str">
            <v>UNIAO F/F ULTRATERM - 28MM</v>
          </cell>
          <cell r="M209" t="str">
            <v>CPVC</v>
          </cell>
          <cell r="N209">
            <v>0.04</v>
          </cell>
        </row>
        <row r="210">
          <cell r="K210">
            <v>1510</v>
          </cell>
          <cell r="L210" t="str">
            <v>ADAPTADOR TRANS F/F PPR 90X3</v>
          </cell>
          <cell r="M210" t="str">
            <v>PPR</v>
          </cell>
          <cell r="N210">
            <v>0.04</v>
          </cell>
        </row>
        <row r="211">
          <cell r="K211">
            <v>1522</v>
          </cell>
          <cell r="L211" t="str">
            <v>ADAPTADOR TRANS F/M PPR 90X3</v>
          </cell>
          <cell r="M211" t="str">
            <v>PPR</v>
          </cell>
          <cell r="N211">
            <v>0.04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ilha1"/>
      <sheetName val="TABELA CYRELA SP- VALIDA ATÉ 30"/>
    </sheetNames>
    <sheetDataSet>
      <sheetData sheetId="0"/>
      <sheetData sheetId="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19F08E-FB08-4584-9B80-AB7FA832C081}" name="Tabela15" displayName="Tabela15" ref="B3:H984" totalsRowShown="0" headerRowDxfId="6" tableBorderDxfId="5">
  <autoFilter ref="B3:H984" xr:uid="{B219F08E-FB08-4584-9B80-AB7FA832C081}"/>
  <tableColumns count="7">
    <tableColumn id="1" xr3:uid="{656D3F77-ABD6-4797-AC4E-27E0D206E671}" name="Produto" dataDxfId="4"/>
    <tableColumn id="2" xr3:uid="{84F66009-3C6D-4921-ADBF-1C6BEC709AFD}" name="Descrição" dataDxfId="3"/>
    <tableColumn id="11" xr3:uid="{AC55F9D2-D74D-4228-AD13-4E7B88422DFF}" name="Família" dataDxfId="2"/>
    <tableColumn id="12" xr3:uid="{C471BA21-4363-453C-BF88-BC6606426937}" name="Linha" dataDxfId="1"/>
    <tableColumn id="10" xr3:uid="{5F0726AC-DD93-4A4F-A1EF-20F0269CD53D}" name="Preço PIS/Cofins/ICMS" dataDxfId="0">
      <calculatedColumnFormula>[2]!Tabela15[[#This Row],[Preço PIS/Cofins/ICMS]]*1.1</calculatedColumnFormula>
    </tableColumn>
    <tableColumn id="3" xr3:uid="{8357AAE9-6B0B-4C10-8E61-BD5E224FDCEA}" name="Coluna1"/>
    <tableColumn id="4" xr3:uid="{004B4579-C12E-4416-A4CA-88C8B9D9D5D2}" name="Coluna2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C6101-F1E0-45DB-BE0F-392D3C7C1787}">
  <dimension ref="A1:H986"/>
  <sheetViews>
    <sheetView tabSelected="1" topLeftCell="B1" workbookViewId="0">
      <selection activeCell="K11" sqref="K11"/>
    </sheetView>
  </sheetViews>
  <sheetFormatPr defaultRowHeight="15" x14ac:dyDescent="0.25"/>
  <cols>
    <col min="1" max="1" width="4.42578125" hidden="1" customWidth="1"/>
    <col min="2" max="2" width="10.42578125" customWidth="1"/>
    <col min="3" max="3" width="52.42578125" customWidth="1"/>
    <col min="4" max="4" width="35.140625" customWidth="1"/>
    <col min="5" max="5" width="55.5703125" customWidth="1"/>
    <col min="6" max="6" width="23.28515625" customWidth="1"/>
    <col min="7" max="7" width="0.42578125" customWidth="1"/>
    <col min="8" max="8" width="0.28515625" customWidth="1"/>
  </cols>
  <sheetData>
    <row r="1" spans="1:8" ht="15" customHeight="1" x14ac:dyDescent="0.25">
      <c r="B1" s="1" t="s">
        <v>0</v>
      </c>
      <c r="C1" s="1" t="s">
        <v>1</v>
      </c>
      <c r="D1" s="1" t="s">
        <v>2</v>
      </c>
      <c r="E1" s="1" t="s">
        <v>3</v>
      </c>
      <c r="F1" s="2"/>
    </row>
    <row r="2" spans="1:8" ht="15" customHeight="1" x14ac:dyDescent="0.25">
      <c r="B2" s="3" t="s">
        <v>4</v>
      </c>
      <c r="C2" s="4" t="s">
        <v>1060</v>
      </c>
      <c r="D2" s="4" t="s">
        <v>5</v>
      </c>
      <c r="E2" s="4" t="s">
        <v>6</v>
      </c>
    </row>
    <row r="3" spans="1:8" ht="15" customHeight="1" x14ac:dyDescent="0.25">
      <c r="B3" s="5" t="s">
        <v>7</v>
      </c>
      <c r="C3" s="5" t="s">
        <v>8</v>
      </c>
      <c r="D3" s="5" t="s">
        <v>9</v>
      </c>
      <c r="E3" s="5" t="s">
        <v>10</v>
      </c>
      <c r="F3" s="6" t="s">
        <v>11</v>
      </c>
      <c r="G3" s="13" t="s">
        <v>1061</v>
      </c>
      <c r="H3" s="13" t="s">
        <v>1062</v>
      </c>
    </row>
    <row r="4" spans="1:8" ht="15" customHeight="1" x14ac:dyDescent="0.25">
      <c r="A4" t="str">
        <f>IFERROR(VLOOKUP(Tabela15[[#This Row],[Produto]],[1]Planilha1!$K$3:$N$300,4,0),"NÃO")</f>
        <v>NÃO</v>
      </c>
      <c r="B4" s="12">
        <v>23</v>
      </c>
      <c r="C4" s="12" t="s">
        <v>12</v>
      </c>
      <c r="D4" s="12" t="s">
        <v>13</v>
      </c>
      <c r="E4" s="12" t="s">
        <v>14</v>
      </c>
      <c r="F4" s="14">
        <f>[2]!Tabela15[[#This Row],[Preço PIS/Cofins/ICMS]]*1.07</f>
        <v>11.213600000000001</v>
      </c>
      <c r="G4" s="8"/>
      <c r="H4" s="9"/>
    </row>
    <row r="5" spans="1:8" ht="15" customHeight="1" x14ac:dyDescent="0.25">
      <c r="A5" t="str">
        <f>IFERROR(VLOOKUP(Tabela15[[#This Row],[Produto]],[1]Planilha1!$K$3:$N$300,4,0),"NÃO")</f>
        <v>NÃO</v>
      </c>
      <c r="B5" s="12">
        <v>24</v>
      </c>
      <c r="C5" s="12" t="s">
        <v>15</v>
      </c>
      <c r="D5" s="12" t="s">
        <v>13</v>
      </c>
      <c r="E5" s="12" t="s">
        <v>14</v>
      </c>
      <c r="F5" s="14">
        <f>[2]!Tabela15[[#This Row],[Preço PIS/Cofins/ICMS]]*1.07</f>
        <v>11.192200000000001</v>
      </c>
      <c r="G5" s="10"/>
    </row>
    <row r="6" spans="1:8" ht="15" customHeight="1" x14ac:dyDescent="0.25">
      <c r="A6" t="str">
        <f>IFERROR(VLOOKUP(Tabela15[[#This Row],[Produto]],[1]Planilha1!$K$3:$N$300,4,0),"NÃO")</f>
        <v>NÃO</v>
      </c>
      <c r="B6" s="12">
        <v>25</v>
      </c>
      <c r="C6" s="12" t="s">
        <v>16</v>
      </c>
      <c r="D6" s="12" t="s">
        <v>13</v>
      </c>
      <c r="E6" s="12" t="s">
        <v>14</v>
      </c>
      <c r="F6" s="14">
        <f>[2]!Tabela15[[#This Row],[Preço PIS/Cofins/ICMS]]*1.07</f>
        <v>26.578800000000001</v>
      </c>
      <c r="G6" s="10"/>
    </row>
    <row r="7" spans="1:8" ht="15" customHeight="1" x14ac:dyDescent="0.25">
      <c r="A7" t="str">
        <f>IFERROR(VLOOKUP(Tabela15[[#This Row],[Produto]],[1]Planilha1!$K$3:$N$300,4,0),"NÃO")</f>
        <v>NÃO</v>
      </c>
      <c r="B7" s="12">
        <v>26</v>
      </c>
      <c r="C7" s="12" t="s">
        <v>17</v>
      </c>
      <c r="D7" s="12" t="s">
        <v>13</v>
      </c>
      <c r="E7" s="12" t="s">
        <v>14</v>
      </c>
      <c r="F7" s="14">
        <f>[2]!Tabela15[[#This Row],[Preço PIS/Cofins/ICMS]]*1.07</f>
        <v>39.771900000000002</v>
      </c>
      <c r="G7" s="10"/>
    </row>
    <row r="8" spans="1:8" ht="15" customHeight="1" x14ac:dyDescent="0.25">
      <c r="A8" t="str">
        <f>IFERROR(VLOOKUP(Tabela15[[#This Row],[Produto]],[1]Planilha1!$K$3:$N$300,4,0),"NÃO")</f>
        <v>NÃO</v>
      </c>
      <c r="B8" s="12">
        <v>27</v>
      </c>
      <c r="C8" s="12" t="s">
        <v>18</v>
      </c>
      <c r="D8" s="12" t="s">
        <v>13</v>
      </c>
      <c r="E8" s="12" t="s">
        <v>14</v>
      </c>
      <c r="F8" s="14">
        <f>[2]!Tabela15[[#This Row],[Preço PIS/Cofins/ICMS]]*1.07</f>
        <v>39.921700000000001</v>
      </c>
      <c r="G8" s="10"/>
    </row>
    <row r="9" spans="1:8" ht="15" customHeight="1" x14ac:dyDescent="0.25">
      <c r="A9" t="str">
        <f>IFERROR(VLOOKUP(Tabela15[[#This Row],[Produto]],[1]Planilha1!$K$3:$N$300,4,0),"NÃO")</f>
        <v>NÃO</v>
      </c>
      <c r="B9" s="12">
        <v>28</v>
      </c>
      <c r="C9" s="12" t="s">
        <v>19</v>
      </c>
      <c r="D9" s="12" t="s">
        <v>13</v>
      </c>
      <c r="E9" s="12" t="s">
        <v>14</v>
      </c>
      <c r="F9" s="14">
        <f>[2]!Tabela15[[#This Row],[Preço PIS/Cofins/ICMS]]*1.07</f>
        <v>77.018600000000006</v>
      </c>
      <c r="G9" s="10"/>
    </row>
    <row r="10" spans="1:8" ht="15" customHeight="1" x14ac:dyDescent="0.25">
      <c r="A10" t="str">
        <f>IFERROR(VLOOKUP(Tabela15[[#This Row],[Produto]],[1]Planilha1!$K$3:$N$300,4,0),"NÃO")</f>
        <v>NÃO</v>
      </c>
      <c r="B10" s="12">
        <v>29</v>
      </c>
      <c r="C10" s="12" t="s">
        <v>20</v>
      </c>
      <c r="D10" s="12" t="s">
        <v>13</v>
      </c>
      <c r="E10" s="12" t="s">
        <v>14</v>
      </c>
      <c r="F10" s="14">
        <f>[2]!Tabela15[[#This Row],[Preço PIS/Cofins/ICMS]]*1.07</f>
        <v>138.01930000000002</v>
      </c>
      <c r="G10" s="10"/>
    </row>
    <row r="11" spans="1:8" ht="15" customHeight="1" x14ac:dyDescent="0.25">
      <c r="A11" t="str">
        <f>IFERROR(VLOOKUP(Tabela15[[#This Row],[Produto]],[1]Planilha1!$K$3:$N$300,4,0),"NÃO")</f>
        <v>NÃO</v>
      </c>
      <c r="B11" s="12">
        <v>30</v>
      </c>
      <c r="C11" s="12" t="s">
        <v>21</v>
      </c>
      <c r="D11" s="12" t="s">
        <v>13</v>
      </c>
      <c r="E11" s="12" t="s">
        <v>14</v>
      </c>
      <c r="F11" s="14">
        <f>[2]!Tabela15[[#This Row],[Preço PIS/Cofins/ICMS]]*1.07</f>
        <v>181.11890000000002</v>
      </c>
      <c r="G11" s="10"/>
    </row>
    <row r="12" spans="1:8" ht="15" customHeight="1" x14ac:dyDescent="0.25">
      <c r="A12" t="str">
        <f>IFERROR(VLOOKUP(Tabela15[[#This Row],[Produto]],[1]Planilha1!$K$3:$N$300,4,0),"NÃO")</f>
        <v>NÃO</v>
      </c>
      <c r="B12" s="12">
        <v>31</v>
      </c>
      <c r="C12" s="12" t="s">
        <v>22</v>
      </c>
      <c r="D12" s="12" t="s">
        <v>13</v>
      </c>
      <c r="E12" s="12" t="s">
        <v>14</v>
      </c>
      <c r="F12" s="14">
        <f>[2]!Tabela15[[#This Row],[Preço PIS/Cofins/ICMS]]*1.07</f>
        <v>246.87040000000002</v>
      </c>
      <c r="G12" s="10"/>
    </row>
    <row r="13" spans="1:8" ht="15" customHeight="1" x14ac:dyDescent="0.25">
      <c r="A13" t="str">
        <f>IFERROR(VLOOKUP(Tabela15[[#This Row],[Produto]],[1]Planilha1!$K$3:$N$300,4,0),"NÃO")</f>
        <v>NÃO</v>
      </c>
      <c r="B13" s="7">
        <v>32</v>
      </c>
      <c r="C13" s="7" t="s">
        <v>23</v>
      </c>
      <c r="D13" s="7" t="s">
        <v>13</v>
      </c>
      <c r="E13" s="7" t="s">
        <v>14</v>
      </c>
      <c r="F13" s="15">
        <f>[2]!Tabela15[[#This Row],[Preço PIS/Cofins/ICMS]]*1.1</f>
        <v>6.6330000000000009</v>
      </c>
      <c r="G13" s="10"/>
    </row>
    <row r="14" spans="1:8" ht="15" customHeight="1" x14ac:dyDescent="0.25">
      <c r="A14" t="str">
        <f>IFERROR(VLOOKUP(Tabela15[[#This Row],[Produto]],[1]Planilha1!$K$3:$N$300,4,0),"NÃO")</f>
        <v>NÃO</v>
      </c>
      <c r="B14" s="7">
        <v>33</v>
      </c>
      <c r="C14" s="7" t="s">
        <v>24</v>
      </c>
      <c r="D14" s="7" t="s">
        <v>13</v>
      </c>
      <c r="E14" s="7" t="s">
        <v>14</v>
      </c>
      <c r="F14" s="15">
        <f>[2]!Tabela15[[#This Row],[Preço PIS/Cofins/ICMS]]*1.1</f>
        <v>6.6110000000000007</v>
      </c>
      <c r="G14" s="10"/>
    </row>
    <row r="15" spans="1:8" ht="15" customHeight="1" x14ac:dyDescent="0.25">
      <c r="A15" t="str">
        <f>IFERROR(VLOOKUP(Tabela15[[#This Row],[Produto]],[1]Planilha1!$K$3:$N$300,4,0),"NÃO")</f>
        <v>NÃO</v>
      </c>
      <c r="B15" s="7">
        <v>34</v>
      </c>
      <c r="C15" s="7" t="s">
        <v>25</v>
      </c>
      <c r="D15" s="7" t="s">
        <v>13</v>
      </c>
      <c r="E15" s="7" t="s">
        <v>14</v>
      </c>
      <c r="F15" s="15">
        <f>[2]!Tabela15[[#This Row],[Preço PIS/Cofins/ICMS]]*1.1</f>
        <v>15.708</v>
      </c>
      <c r="G15" s="10"/>
    </row>
    <row r="16" spans="1:8" ht="15" customHeight="1" x14ac:dyDescent="0.25">
      <c r="A16" t="str">
        <f>IFERROR(VLOOKUP(Tabela15[[#This Row],[Produto]],[1]Planilha1!$K$3:$N$300,4,0),"NÃO")</f>
        <v>NÃO</v>
      </c>
      <c r="B16" s="7">
        <v>35</v>
      </c>
      <c r="C16" s="7" t="s">
        <v>26</v>
      </c>
      <c r="D16" s="7" t="s">
        <v>13</v>
      </c>
      <c r="E16" s="7" t="s">
        <v>14</v>
      </c>
      <c r="F16" s="15">
        <f>[2]!Tabela15[[#This Row],[Preço PIS/Cofins/ICMS]]*1.1</f>
        <v>23.507000000000001</v>
      </c>
      <c r="G16" s="10"/>
    </row>
    <row r="17" spans="1:7" ht="15" customHeight="1" x14ac:dyDescent="0.25">
      <c r="A17" t="str">
        <f>IFERROR(VLOOKUP(Tabela15[[#This Row],[Produto]],[1]Planilha1!$K$3:$N$300,4,0),"NÃO")</f>
        <v>NÃO</v>
      </c>
      <c r="B17" s="7">
        <v>36</v>
      </c>
      <c r="C17" s="7" t="s">
        <v>27</v>
      </c>
      <c r="D17" s="7" t="s">
        <v>13</v>
      </c>
      <c r="E17" s="7" t="s">
        <v>14</v>
      </c>
      <c r="F17" s="15">
        <f>[2]!Tabela15[[#This Row],[Preço PIS/Cofins/ICMS]]*1.1</f>
        <v>23.595000000000002</v>
      </c>
      <c r="G17" s="10"/>
    </row>
    <row r="18" spans="1:7" ht="15" customHeight="1" x14ac:dyDescent="0.25">
      <c r="A18" t="str">
        <f>IFERROR(VLOOKUP(Tabela15[[#This Row],[Produto]],[1]Planilha1!$K$3:$N$300,4,0),"NÃO")</f>
        <v>NÃO</v>
      </c>
      <c r="B18" s="7">
        <v>37</v>
      </c>
      <c r="C18" s="7" t="s">
        <v>28</v>
      </c>
      <c r="D18" s="7" t="s">
        <v>13</v>
      </c>
      <c r="E18" s="7" t="s">
        <v>14</v>
      </c>
      <c r="F18" s="15">
        <f>[2]!Tabela15[[#This Row],[Preço PIS/Cofins/ICMS]]*1.1</f>
        <v>45.529000000000003</v>
      </c>
      <c r="G18" s="10"/>
    </row>
    <row r="19" spans="1:7" ht="15" customHeight="1" x14ac:dyDescent="0.25">
      <c r="A19" t="str">
        <f>IFERROR(VLOOKUP(Tabela15[[#This Row],[Produto]],[1]Planilha1!$K$3:$N$300,4,0),"NÃO")</f>
        <v>NÃO</v>
      </c>
      <c r="B19" s="7">
        <v>38</v>
      </c>
      <c r="C19" s="7" t="s">
        <v>29</v>
      </c>
      <c r="D19" s="7" t="s">
        <v>13</v>
      </c>
      <c r="E19" s="7" t="s">
        <v>14</v>
      </c>
      <c r="F19" s="15">
        <f>[2]!Tabela15[[#This Row],[Preço PIS/Cofins/ICMS]]*1.1</f>
        <v>81.587000000000003</v>
      </c>
      <c r="G19" s="10"/>
    </row>
    <row r="20" spans="1:7" ht="15" customHeight="1" x14ac:dyDescent="0.25">
      <c r="A20">
        <f>IFERROR(VLOOKUP(Tabela15[[#This Row],[Produto]],[1]Planilha1!$K$3:$N$300,4,0),"NÃO")</f>
        <v>0.04</v>
      </c>
      <c r="B20" s="7">
        <v>50</v>
      </c>
      <c r="C20" s="7" t="s">
        <v>30</v>
      </c>
      <c r="D20" s="7" t="s">
        <v>31</v>
      </c>
      <c r="E20" s="7" t="s">
        <v>32</v>
      </c>
      <c r="F20" s="15">
        <f>[2]!Tabela15[[#This Row],[Preço PIS/Cofins/ICMS]]*1.1</f>
        <v>13.42</v>
      </c>
      <c r="G20" s="10"/>
    </row>
    <row r="21" spans="1:7" ht="15" customHeight="1" x14ac:dyDescent="0.25">
      <c r="A21">
        <f>IFERROR(VLOOKUP(Tabela15[[#This Row],[Produto]],[1]Planilha1!$K$3:$N$300,4,0),"NÃO")</f>
        <v>0.04</v>
      </c>
      <c r="B21" s="7">
        <v>51</v>
      </c>
      <c r="C21" s="7" t="s">
        <v>33</v>
      </c>
      <c r="D21" s="7" t="s">
        <v>31</v>
      </c>
      <c r="E21" s="7" t="s">
        <v>32</v>
      </c>
      <c r="F21" s="15">
        <f>[2]!Tabela15[[#This Row],[Preço PIS/Cofins/ICMS]]*1.1</f>
        <v>21.262999999999998</v>
      </c>
      <c r="G21" s="10"/>
    </row>
    <row r="22" spans="1:7" ht="15" customHeight="1" x14ac:dyDescent="0.25">
      <c r="A22">
        <f>IFERROR(VLOOKUP(Tabela15[[#This Row],[Produto]],[1]Planilha1!$K$3:$N$300,4,0),"NÃO")</f>
        <v>0.04</v>
      </c>
      <c r="B22" s="7">
        <v>52</v>
      </c>
      <c r="C22" s="7" t="s">
        <v>34</v>
      </c>
      <c r="D22" s="7" t="s">
        <v>31</v>
      </c>
      <c r="E22" s="7" t="s">
        <v>32</v>
      </c>
      <c r="F22" s="15">
        <f>[2]!Tabela15[[#This Row],[Preço PIS/Cofins/ICMS]]*1.1</f>
        <v>35.650999999999996</v>
      </c>
      <c r="G22" s="10"/>
    </row>
    <row r="23" spans="1:7" ht="15" customHeight="1" x14ac:dyDescent="0.25">
      <c r="A23" t="str">
        <f>IFERROR(VLOOKUP(Tabela15[[#This Row],[Produto]],[1]Planilha1!$K$3:$N$300,4,0),"NÃO")</f>
        <v>NÃO</v>
      </c>
      <c r="B23" s="12">
        <v>100</v>
      </c>
      <c r="C23" s="12" t="s">
        <v>35</v>
      </c>
      <c r="D23" s="12" t="s">
        <v>13</v>
      </c>
      <c r="E23" s="12" t="s">
        <v>36</v>
      </c>
      <c r="F23" s="14">
        <f>[2]!Tabela15[[#This Row],[Preço PIS/Cofins/ICMS]]*1.07</f>
        <v>16.895299999999999</v>
      </c>
      <c r="G23" s="10"/>
    </row>
    <row r="24" spans="1:7" ht="15" customHeight="1" x14ac:dyDescent="0.25">
      <c r="A24" t="str">
        <f>IFERROR(VLOOKUP(Tabela15[[#This Row],[Produto]],[1]Planilha1!$K$3:$N$300,4,0),"NÃO")</f>
        <v>NÃO</v>
      </c>
      <c r="B24" s="12">
        <v>101</v>
      </c>
      <c r="C24" s="12" t="s">
        <v>37</v>
      </c>
      <c r="D24" s="12" t="s">
        <v>13</v>
      </c>
      <c r="E24" s="12" t="s">
        <v>36</v>
      </c>
      <c r="F24" s="14">
        <v>29.31</v>
      </c>
      <c r="G24" s="10"/>
    </row>
    <row r="25" spans="1:7" ht="15" customHeight="1" x14ac:dyDescent="0.25">
      <c r="A25" t="str">
        <f>IFERROR(VLOOKUP(Tabela15[[#This Row],[Produto]],[1]Planilha1!$K$3:$N$300,4,0),"NÃO")</f>
        <v>NÃO</v>
      </c>
      <c r="B25" s="12">
        <v>102</v>
      </c>
      <c r="C25" s="12" t="s">
        <v>38</v>
      </c>
      <c r="D25" s="12" t="s">
        <v>13</v>
      </c>
      <c r="E25" s="12" t="s">
        <v>36</v>
      </c>
      <c r="F25" s="14">
        <f>[2]!Tabela15[[#This Row],[Preço PIS/Cofins/ICMS]]*1.07</f>
        <v>45.421500000000009</v>
      </c>
      <c r="G25" s="10"/>
    </row>
    <row r="26" spans="1:7" ht="15" customHeight="1" x14ac:dyDescent="0.25">
      <c r="A26" t="str">
        <f>IFERROR(VLOOKUP(Tabela15[[#This Row],[Produto]],[1]Planilha1!$K$3:$N$300,4,0),"NÃO")</f>
        <v>NÃO</v>
      </c>
      <c r="B26" s="12">
        <v>103</v>
      </c>
      <c r="C26" s="12" t="s">
        <v>39</v>
      </c>
      <c r="D26" s="12" t="s">
        <v>13</v>
      </c>
      <c r="E26" s="12" t="s">
        <v>36</v>
      </c>
      <c r="F26" s="14">
        <v>46.53</v>
      </c>
      <c r="G26" s="10"/>
    </row>
    <row r="27" spans="1:7" ht="15" customHeight="1" x14ac:dyDescent="0.25">
      <c r="A27" t="str">
        <f>IFERROR(VLOOKUP(Tabela15[[#This Row],[Produto]],[1]Planilha1!$K$3:$N$300,4,0),"NÃO")</f>
        <v>NÃO</v>
      </c>
      <c r="B27" s="12">
        <v>104</v>
      </c>
      <c r="C27" s="12" t="s">
        <v>40</v>
      </c>
      <c r="D27" s="12" t="s">
        <v>13</v>
      </c>
      <c r="E27" s="12" t="s">
        <v>36</v>
      </c>
      <c r="F27" s="14">
        <v>112.30800000000001</v>
      </c>
      <c r="G27" s="10"/>
    </row>
    <row r="28" spans="1:7" ht="15" customHeight="1" x14ac:dyDescent="0.25">
      <c r="A28" t="str">
        <f>IFERROR(VLOOKUP(Tabela15[[#This Row],[Produto]],[1]Planilha1!$K$3:$N$300,4,0),"NÃO")</f>
        <v>NÃO</v>
      </c>
      <c r="B28" s="7">
        <v>105</v>
      </c>
      <c r="C28" s="7" t="s">
        <v>41</v>
      </c>
      <c r="D28" s="7" t="s">
        <v>13</v>
      </c>
      <c r="E28" s="7" t="s">
        <v>36</v>
      </c>
      <c r="F28" s="15">
        <f>[2]!Tabela15[[#This Row],[Preço PIS/Cofins/ICMS]]*1.1</f>
        <v>272.38200000000001</v>
      </c>
      <c r="G28" s="10"/>
    </row>
    <row r="29" spans="1:7" ht="15" customHeight="1" x14ac:dyDescent="0.25">
      <c r="A29" t="str">
        <f>IFERROR(VLOOKUP(Tabela15[[#This Row],[Produto]],[1]Planilha1!$K$3:$N$300,4,0),"NÃO")</f>
        <v>NÃO</v>
      </c>
      <c r="B29" s="7">
        <v>106</v>
      </c>
      <c r="C29" s="7" t="s">
        <v>42</v>
      </c>
      <c r="D29" s="7" t="s">
        <v>13</v>
      </c>
      <c r="E29" s="7" t="s">
        <v>36</v>
      </c>
      <c r="F29" s="15">
        <f>[2]!Tabela15[[#This Row],[Preço PIS/Cofins/ICMS]]*1.1</f>
        <v>271.89800000000002</v>
      </c>
      <c r="G29" s="10"/>
    </row>
    <row r="30" spans="1:7" ht="15" customHeight="1" x14ac:dyDescent="0.25">
      <c r="A30" t="str">
        <f>IFERROR(VLOOKUP(Tabela15[[#This Row],[Produto]],[1]Planilha1!$K$3:$N$300,4,0),"NÃO")</f>
        <v>NÃO</v>
      </c>
      <c r="B30" s="7">
        <v>110</v>
      </c>
      <c r="C30" s="7" t="s">
        <v>43</v>
      </c>
      <c r="D30" s="7" t="s">
        <v>13</v>
      </c>
      <c r="E30" s="7" t="s">
        <v>36</v>
      </c>
      <c r="F30" s="15">
        <f>[2]!Tabela15[[#This Row],[Preço PIS/Cofins/ICMS]]*1.1</f>
        <v>9.9880000000000013</v>
      </c>
      <c r="G30" s="10"/>
    </row>
    <row r="31" spans="1:7" ht="15" customHeight="1" x14ac:dyDescent="0.25">
      <c r="A31" t="str">
        <f>IFERROR(VLOOKUP(Tabela15[[#This Row],[Produto]],[1]Planilha1!$K$3:$N$300,4,0),"NÃO")</f>
        <v>NÃO</v>
      </c>
      <c r="B31" s="7">
        <v>111</v>
      </c>
      <c r="C31" s="7" t="s">
        <v>44</v>
      </c>
      <c r="D31" s="7" t="s">
        <v>13</v>
      </c>
      <c r="E31" s="7" t="s">
        <v>36</v>
      </c>
      <c r="F31" s="15">
        <f>[2]!Tabela15[[#This Row],[Preço PIS/Cofins/ICMS]]*1.1</f>
        <v>17.05</v>
      </c>
      <c r="G31" s="10"/>
    </row>
    <row r="32" spans="1:7" ht="15" customHeight="1" x14ac:dyDescent="0.25">
      <c r="A32" t="str">
        <f>IFERROR(VLOOKUP(Tabela15[[#This Row],[Produto]],[1]Planilha1!$K$3:$N$300,4,0),"NÃO")</f>
        <v>NÃO</v>
      </c>
      <c r="B32" s="7">
        <v>112</v>
      </c>
      <c r="C32" s="7" t="s">
        <v>45</v>
      </c>
      <c r="D32" s="7" t="s">
        <v>13</v>
      </c>
      <c r="E32" s="7" t="s">
        <v>36</v>
      </c>
      <c r="F32" s="15">
        <f>[2]!Tabela15[[#This Row],[Preço PIS/Cofins/ICMS]]*1.1</f>
        <v>26.851000000000003</v>
      </c>
      <c r="G32" s="10"/>
    </row>
    <row r="33" spans="1:7" ht="15" customHeight="1" x14ac:dyDescent="0.25">
      <c r="A33" t="str">
        <f>IFERROR(VLOOKUP(Tabela15[[#This Row],[Produto]],[1]Planilha1!$K$3:$N$300,4,0),"NÃO")</f>
        <v>NÃO</v>
      </c>
      <c r="B33" s="7">
        <v>113</v>
      </c>
      <c r="C33" s="7" t="s">
        <v>46</v>
      </c>
      <c r="D33" s="7" t="s">
        <v>13</v>
      </c>
      <c r="E33" s="7" t="s">
        <v>36</v>
      </c>
      <c r="F33" s="15">
        <f>[2]!Tabela15[[#This Row],[Preço PIS/Cofins/ICMS]]*1.1</f>
        <v>24.453000000000003</v>
      </c>
      <c r="G33" s="10"/>
    </row>
    <row r="34" spans="1:7" ht="15" customHeight="1" x14ac:dyDescent="0.25">
      <c r="A34" t="str">
        <f>IFERROR(VLOOKUP(Tabela15[[#This Row],[Produto]],[1]Planilha1!$K$3:$N$300,4,0),"NÃO")</f>
        <v>NÃO</v>
      </c>
      <c r="B34" s="7">
        <v>114</v>
      </c>
      <c r="C34" s="7" t="s">
        <v>47</v>
      </c>
      <c r="D34" s="7" t="s">
        <v>13</v>
      </c>
      <c r="E34" s="7" t="s">
        <v>36</v>
      </c>
      <c r="F34" s="15">
        <f>[2]!Tabela15[[#This Row],[Preço PIS/Cofins/ICMS]]*1.1</f>
        <v>65.427999999999997</v>
      </c>
      <c r="G34" s="10"/>
    </row>
    <row r="35" spans="1:7" ht="15" customHeight="1" x14ac:dyDescent="0.25">
      <c r="A35" t="str">
        <f>IFERROR(VLOOKUP(Tabela15[[#This Row],[Produto]],[1]Planilha1!$K$3:$N$300,4,0),"NÃO")</f>
        <v>NÃO</v>
      </c>
      <c r="B35" s="7">
        <v>115</v>
      </c>
      <c r="C35" s="7" t="s">
        <v>48</v>
      </c>
      <c r="D35" s="7" t="s">
        <v>13</v>
      </c>
      <c r="E35" s="7" t="s">
        <v>36</v>
      </c>
      <c r="F35" s="15">
        <f>[2]!Tabela15[[#This Row],[Preço PIS/Cofins/ICMS]]*1.1</f>
        <v>156.61799999999999</v>
      </c>
      <c r="G35" s="10"/>
    </row>
    <row r="36" spans="1:7" ht="15" customHeight="1" x14ac:dyDescent="0.25">
      <c r="A36" t="str">
        <f>IFERROR(VLOOKUP(Tabela15[[#This Row],[Produto]],[1]Planilha1!$K$3:$N$300,4,0),"NÃO")</f>
        <v>NÃO</v>
      </c>
      <c r="B36" s="7">
        <v>116</v>
      </c>
      <c r="C36" s="7" t="s">
        <v>49</v>
      </c>
      <c r="D36" s="7" t="s">
        <v>13</v>
      </c>
      <c r="E36" s="7" t="s">
        <v>36</v>
      </c>
      <c r="F36" s="15">
        <f>[2]!Tabela15[[#This Row],[Preço PIS/Cofins/ICMS]]*1.1</f>
        <v>156.34300000000002</v>
      </c>
      <c r="G36" s="10"/>
    </row>
    <row r="37" spans="1:7" ht="15" customHeight="1" x14ac:dyDescent="0.25">
      <c r="A37" t="str">
        <f>IFERROR(VLOOKUP(Tabela15[[#This Row],[Produto]],[1]Planilha1!$K$3:$N$300,4,0),"NÃO")</f>
        <v>NÃO</v>
      </c>
      <c r="B37" s="7">
        <v>117</v>
      </c>
      <c r="C37" s="7" t="s">
        <v>50</v>
      </c>
      <c r="D37" s="7" t="s">
        <v>13</v>
      </c>
      <c r="E37" s="7" t="s">
        <v>51</v>
      </c>
      <c r="F37" s="15">
        <f>[2]!Tabela15[[#This Row],[Preço PIS/Cofins/ICMS]]*1.1</f>
        <v>25.586000000000002</v>
      </c>
      <c r="G37" s="10"/>
    </row>
    <row r="38" spans="1:7" ht="15" customHeight="1" x14ac:dyDescent="0.25">
      <c r="A38" t="str">
        <f>IFERROR(VLOOKUP(Tabela15[[#This Row],[Produto]],[1]Planilha1!$K$3:$N$300,4,0),"NÃO")</f>
        <v>NÃO</v>
      </c>
      <c r="B38" s="7">
        <v>118</v>
      </c>
      <c r="C38" s="7" t="s">
        <v>52</v>
      </c>
      <c r="D38" s="7" t="s">
        <v>13</v>
      </c>
      <c r="E38" s="7" t="s">
        <v>51</v>
      </c>
      <c r="F38" s="15">
        <f>[2]!Tabela15[[#This Row],[Preço PIS/Cofins/ICMS]]*1.1</f>
        <v>35.706000000000003</v>
      </c>
      <c r="G38" s="10"/>
    </row>
    <row r="39" spans="1:7" ht="15" customHeight="1" x14ac:dyDescent="0.25">
      <c r="A39" t="str">
        <f>IFERROR(VLOOKUP(Tabela15[[#This Row],[Produto]],[1]Planilha1!$K$3:$N$300,4,0),"NÃO")</f>
        <v>NÃO</v>
      </c>
      <c r="B39" s="7">
        <v>119</v>
      </c>
      <c r="C39" s="7" t="s">
        <v>53</v>
      </c>
      <c r="D39" s="7" t="s">
        <v>13</v>
      </c>
      <c r="E39" s="7" t="s">
        <v>51</v>
      </c>
      <c r="F39" s="15">
        <f>[2]!Tabela15[[#This Row],[Preço PIS/Cofins/ICMS]]*1.1</f>
        <v>72.27000000000001</v>
      </c>
      <c r="G39" s="10"/>
    </row>
    <row r="40" spans="1:7" ht="15" customHeight="1" x14ac:dyDescent="0.25">
      <c r="A40" t="str">
        <f>IFERROR(VLOOKUP(Tabela15[[#This Row],[Produto]],[1]Planilha1!$K$3:$N$300,4,0),"NÃO")</f>
        <v>NÃO</v>
      </c>
      <c r="B40" s="7">
        <v>120</v>
      </c>
      <c r="C40" s="7" t="s">
        <v>54</v>
      </c>
      <c r="D40" s="7" t="s">
        <v>13</v>
      </c>
      <c r="E40" s="7" t="s">
        <v>51</v>
      </c>
      <c r="F40" s="15">
        <f>[2]!Tabela15[[#This Row],[Preço PIS/Cofins/ICMS]]*1.1</f>
        <v>83.061000000000007</v>
      </c>
      <c r="G40" s="10"/>
    </row>
    <row r="41" spans="1:7" ht="15" customHeight="1" x14ac:dyDescent="0.25">
      <c r="A41" t="str">
        <f>IFERROR(VLOOKUP(Tabela15[[#This Row],[Produto]],[1]Planilha1!$K$3:$N$300,4,0),"NÃO")</f>
        <v>NÃO</v>
      </c>
      <c r="B41" s="7">
        <v>121</v>
      </c>
      <c r="C41" s="7" t="s">
        <v>55</v>
      </c>
      <c r="D41" s="7" t="s">
        <v>13</v>
      </c>
      <c r="E41" s="7" t="s">
        <v>51</v>
      </c>
      <c r="F41" s="15">
        <f>[2]!Tabela15[[#This Row],[Preço PIS/Cofins/ICMS]]*1.1</f>
        <v>116.952</v>
      </c>
      <c r="G41" s="10"/>
    </row>
    <row r="42" spans="1:7" ht="15" customHeight="1" x14ac:dyDescent="0.25">
      <c r="A42" t="str">
        <f>IFERROR(VLOOKUP(Tabela15[[#This Row],[Produto]],[1]Planilha1!$K$3:$N$300,4,0),"NÃO")</f>
        <v>NÃO</v>
      </c>
      <c r="B42" s="7">
        <v>122</v>
      </c>
      <c r="C42" s="7" t="s">
        <v>56</v>
      </c>
      <c r="D42" s="7" t="s">
        <v>13</v>
      </c>
      <c r="E42" s="7" t="s">
        <v>51</v>
      </c>
      <c r="F42" s="15">
        <f>[2]!Tabela15[[#This Row],[Preço PIS/Cofins/ICMS]]*1.1</f>
        <v>156.904</v>
      </c>
      <c r="G42" s="10"/>
    </row>
    <row r="43" spans="1:7" ht="15" customHeight="1" x14ac:dyDescent="0.25">
      <c r="A43" t="str">
        <f>IFERROR(VLOOKUP(Tabela15[[#This Row],[Produto]],[1]Planilha1!$K$3:$N$300,4,0),"NÃO")</f>
        <v>NÃO</v>
      </c>
      <c r="B43" s="12">
        <v>135</v>
      </c>
      <c r="C43" s="12" t="s">
        <v>57</v>
      </c>
      <c r="D43" s="12" t="s">
        <v>13</v>
      </c>
      <c r="E43" s="12" t="s">
        <v>36</v>
      </c>
      <c r="F43" s="14">
        <f>[2]!Tabela15[[#This Row],[Preço PIS/Cofins/ICMS]]*1.07</f>
        <v>29.499900000000004</v>
      </c>
      <c r="G43" s="10"/>
    </row>
    <row r="44" spans="1:7" ht="15" customHeight="1" x14ac:dyDescent="0.25">
      <c r="A44" t="str">
        <f>IFERROR(VLOOKUP(Tabela15[[#This Row],[Produto]],[1]Planilha1!$K$3:$N$300,4,0),"NÃO")</f>
        <v>NÃO</v>
      </c>
      <c r="B44" s="12">
        <v>136</v>
      </c>
      <c r="C44" s="12" t="s">
        <v>58</v>
      </c>
      <c r="D44" s="12" t="s">
        <v>13</v>
      </c>
      <c r="E44" s="12" t="s">
        <v>36</v>
      </c>
      <c r="F44" s="14">
        <f>[2]!Tabela15[[#This Row],[Preço PIS/Cofins/ICMS]]*1.07</f>
        <v>32.485199999999999</v>
      </c>
      <c r="G44" s="10"/>
    </row>
    <row r="45" spans="1:7" ht="15" customHeight="1" x14ac:dyDescent="0.25">
      <c r="A45" t="str">
        <f>IFERROR(VLOOKUP(Tabela15[[#This Row],[Produto]],[1]Planilha1!$K$3:$N$300,4,0),"NÃO")</f>
        <v>NÃO</v>
      </c>
      <c r="B45" s="12">
        <v>137</v>
      </c>
      <c r="C45" s="12" t="s">
        <v>59</v>
      </c>
      <c r="D45" s="12" t="s">
        <v>13</v>
      </c>
      <c r="E45" s="12" t="s">
        <v>36</v>
      </c>
      <c r="F45" s="14">
        <f>[2]!Tabela15[[#This Row],[Preço PIS/Cofins/ICMS]]*1.07</f>
        <v>55.019400000000005</v>
      </c>
      <c r="G45" s="10"/>
    </row>
    <row r="46" spans="1:7" ht="15" customHeight="1" x14ac:dyDescent="0.25">
      <c r="A46" t="str">
        <f>IFERROR(VLOOKUP(Tabela15[[#This Row],[Produto]],[1]Planilha1!$K$3:$N$300,4,0),"NÃO")</f>
        <v>NÃO</v>
      </c>
      <c r="B46" s="12">
        <v>138</v>
      </c>
      <c r="C46" s="12" t="s">
        <v>60</v>
      </c>
      <c r="D46" s="12" t="s">
        <v>13</v>
      </c>
      <c r="E46" s="12" t="s">
        <v>36</v>
      </c>
      <c r="F46" s="14">
        <f>[2]!Tabela15[[#This Row],[Preço PIS/Cofins/ICMS]]*1.07</f>
        <v>91.795300000000012</v>
      </c>
      <c r="G46" s="10"/>
    </row>
    <row r="47" spans="1:7" ht="15" customHeight="1" x14ac:dyDescent="0.25">
      <c r="A47" t="str">
        <f>IFERROR(VLOOKUP(Tabela15[[#This Row],[Produto]],[1]Planilha1!$K$3:$N$300,4,0),"NÃO")</f>
        <v>NÃO</v>
      </c>
      <c r="B47" s="12">
        <v>139</v>
      </c>
      <c r="C47" s="12" t="s">
        <v>61</v>
      </c>
      <c r="D47" s="12" t="s">
        <v>13</v>
      </c>
      <c r="E47" s="12" t="s">
        <v>36</v>
      </c>
      <c r="F47" s="14">
        <f>[2]!Tabela15[[#This Row],[Preço PIS/Cofins/ICMS]]*1.07</f>
        <v>190.65260000000001</v>
      </c>
      <c r="G47" s="10"/>
    </row>
    <row r="48" spans="1:7" ht="15" customHeight="1" x14ac:dyDescent="0.25">
      <c r="A48">
        <f>IFERROR(VLOOKUP(Tabela15[[#This Row],[Produto]],[1]Planilha1!$K$3:$N$300,4,0),"NÃO")</f>
        <v>0.04</v>
      </c>
      <c r="B48" s="7">
        <v>147</v>
      </c>
      <c r="C48" s="7" t="s">
        <v>62</v>
      </c>
      <c r="D48" s="7" t="s">
        <v>63</v>
      </c>
      <c r="E48" s="7" t="s">
        <v>64</v>
      </c>
      <c r="F48" s="15">
        <f>[2]!Tabela15[[#This Row],[Preço PIS/Cofins/ICMS]]*1.1</f>
        <v>20.02</v>
      </c>
      <c r="G48" s="10"/>
    </row>
    <row r="49" spans="1:7" ht="15" customHeight="1" x14ac:dyDescent="0.25">
      <c r="A49">
        <f>IFERROR(VLOOKUP(Tabela15[[#This Row],[Produto]],[1]Planilha1!$K$3:$N$300,4,0),"NÃO")</f>
        <v>0.04</v>
      </c>
      <c r="B49" s="7">
        <v>148</v>
      </c>
      <c r="C49" s="7" t="s">
        <v>65</v>
      </c>
      <c r="D49" s="7" t="s">
        <v>63</v>
      </c>
      <c r="E49" s="7" t="s">
        <v>64</v>
      </c>
      <c r="F49" s="15">
        <f>[2]!Tabela15[[#This Row],[Preço PIS/Cofins/ICMS]]*1.1</f>
        <v>19.646000000000001</v>
      </c>
      <c r="G49" s="10"/>
    </row>
    <row r="50" spans="1:7" ht="15" customHeight="1" x14ac:dyDescent="0.25">
      <c r="A50">
        <f>IFERROR(VLOOKUP(Tabela15[[#This Row],[Produto]],[1]Planilha1!$K$3:$N$300,4,0),"NÃO")</f>
        <v>0.04</v>
      </c>
      <c r="B50" s="7">
        <v>149</v>
      </c>
      <c r="C50" s="7" t="s">
        <v>66</v>
      </c>
      <c r="D50" s="7" t="s">
        <v>63</v>
      </c>
      <c r="E50" s="7" t="s">
        <v>64</v>
      </c>
      <c r="F50" s="15">
        <f>[2]!Tabela15[[#This Row],[Preço PIS/Cofins/ICMS]]*1.1</f>
        <v>38.433999999999997</v>
      </c>
      <c r="G50" s="10"/>
    </row>
    <row r="51" spans="1:7" ht="15" customHeight="1" x14ac:dyDescent="0.25">
      <c r="A51">
        <f>IFERROR(VLOOKUP(Tabela15[[#This Row],[Produto]],[1]Planilha1!$K$3:$N$300,4,0),"NÃO")</f>
        <v>0.04</v>
      </c>
      <c r="B51" s="7">
        <v>150</v>
      </c>
      <c r="C51" s="7" t="s">
        <v>67</v>
      </c>
      <c r="D51" s="7" t="s">
        <v>63</v>
      </c>
      <c r="E51" s="7" t="s">
        <v>64</v>
      </c>
      <c r="F51" s="15">
        <f>[2]!Tabela15[[#This Row],[Preço PIS/Cofins/ICMS]]*1.1</f>
        <v>53.141000000000005</v>
      </c>
      <c r="G51" s="10"/>
    </row>
    <row r="52" spans="1:7" ht="15" customHeight="1" x14ac:dyDescent="0.25">
      <c r="A52">
        <f>IFERROR(VLOOKUP(Tabela15[[#This Row],[Produto]],[1]Planilha1!$K$3:$N$300,4,0),"NÃO")</f>
        <v>0.04</v>
      </c>
      <c r="B52" s="7">
        <v>151</v>
      </c>
      <c r="C52" s="7" t="s">
        <v>68</v>
      </c>
      <c r="D52" s="7" t="s">
        <v>63</v>
      </c>
      <c r="E52" s="7" t="s">
        <v>64</v>
      </c>
      <c r="F52" s="15">
        <f>[2]!Tabela15[[#This Row],[Preço PIS/Cofins/ICMS]]*1.1</f>
        <v>72.050000000000011</v>
      </c>
      <c r="G52" s="10"/>
    </row>
    <row r="53" spans="1:7" ht="15" customHeight="1" x14ac:dyDescent="0.25">
      <c r="A53">
        <f>IFERROR(VLOOKUP(Tabela15[[#This Row],[Produto]],[1]Planilha1!$K$3:$N$300,4,0),"NÃO")</f>
        <v>0.04</v>
      </c>
      <c r="B53" s="7">
        <v>152</v>
      </c>
      <c r="C53" s="7" t="s">
        <v>69</v>
      </c>
      <c r="D53" s="7" t="s">
        <v>63</v>
      </c>
      <c r="E53" s="7" t="s">
        <v>64</v>
      </c>
      <c r="F53" s="15">
        <f>[2]!Tabela15[[#This Row],[Preço PIS/Cofins/ICMS]]*1.1</f>
        <v>115.61</v>
      </c>
      <c r="G53" s="10"/>
    </row>
    <row r="54" spans="1:7" ht="15" customHeight="1" x14ac:dyDescent="0.25">
      <c r="A54">
        <f>IFERROR(VLOOKUP(Tabela15[[#This Row],[Produto]],[1]Planilha1!$K$3:$N$300,4,0),"NÃO")</f>
        <v>0.04</v>
      </c>
      <c r="B54" s="7">
        <v>153</v>
      </c>
      <c r="C54" s="7" t="s">
        <v>70</v>
      </c>
      <c r="D54" s="7" t="s">
        <v>63</v>
      </c>
      <c r="E54" s="7" t="s">
        <v>64</v>
      </c>
      <c r="F54" s="15">
        <f>[2]!Tabela15[[#This Row],[Preço PIS/Cofins/ICMS]]*1.1</f>
        <v>183.06200000000001</v>
      </c>
      <c r="G54" s="10"/>
    </row>
    <row r="55" spans="1:7" ht="15" customHeight="1" x14ac:dyDescent="0.25">
      <c r="A55">
        <f>IFERROR(VLOOKUP(Tabela15[[#This Row],[Produto]],[1]Planilha1!$K$3:$N$300,4,0),"NÃO")</f>
        <v>0.04</v>
      </c>
      <c r="B55" s="7">
        <v>154</v>
      </c>
      <c r="C55" s="7" t="s">
        <v>71</v>
      </c>
      <c r="D55" s="7" t="s">
        <v>63</v>
      </c>
      <c r="E55" s="7" t="s">
        <v>64</v>
      </c>
      <c r="F55" s="15">
        <f>[2]!Tabela15[[#This Row],[Preço PIS/Cofins/ICMS]]*1.1</f>
        <v>243.35300000000001</v>
      </c>
      <c r="G55" s="10"/>
    </row>
    <row r="56" spans="1:7" ht="15" customHeight="1" x14ac:dyDescent="0.25">
      <c r="A56">
        <f>IFERROR(VLOOKUP(Tabela15[[#This Row],[Produto]],[1]Planilha1!$K$3:$N$300,4,0),"NÃO")</f>
        <v>0.04</v>
      </c>
      <c r="B56" s="7">
        <v>155</v>
      </c>
      <c r="C56" s="7" t="s">
        <v>72</v>
      </c>
      <c r="D56" s="7" t="s">
        <v>63</v>
      </c>
      <c r="E56" s="7" t="s">
        <v>64</v>
      </c>
      <c r="F56" s="15">
        <f>[2]!Tabela15[[#This Row],[Preço PIS/Cofins/ICMS]]*1.1</f>
        <v>408.43000000000006</v>
      </c>
      <c r="G56" s="10"/>
    </row>
    <row r="57" spans="1:7" ht="15" customHeight="1" x14ac:dyDescent="0.25">
      <c r="A57">
        <f>IFERROR(VLOOKUP(Tabela15[[#This Row],[Produto]],[1]Planilha1!$K$3:$N$300,4,0),"NÃO")</f>
        <v>0.04</v>
      </c>
      <c r="B57" s="7">
        <v>156</v>
      </c>
      <c r="C57" s="7" t="s">
        <v>73</v>
      </c>
      <c r="D57" s="7" t="s">
        <v>63</v>
      </c>
      <c r="E57" s="7" t="s">
        <v>64</v>
      </c>
      <c r="F57" s="15">
        <f>[2]!Tabela15[[#This Row],[Preço PIS/Cofins/ICMS]]*1.1</f>
        <v>21.604000000000003</v>
      </c>
      <c r="G57" s="10"/>
    </row>
    <row r="58" spans="1:7" ht="15" customHeight="1" x14ac:dyDescent="0.25">
      <c r="A58">
        <f>IFERROR(VLOOKUP(Tabela15[[#This Row],[Produto]],[1]Planilha1!$K$3:$N$300,4,0),"NÃO")</f>
        <v>0.04</v>
      </c>
      <c r="B58" s="7">
        <v>157</v>
      </c>
      <c r="C58" s="7" t="s">
        <v>74</v>
      </c>
      <c r="D58" s="7" t="s">
        <v>63</v>
      </c>
      <c r="E58" s="7" t="s">
        <v>64</v>
      </c>
      <c r="F58" s="15">
        <f>[2]!Tabela15[[#This Row],[Preço PIS/Cofins/ICMS]]*1.1</f>
        <v>28.897000000000002</v>
      </c>
      <c r="G58" s="10"/>
    </row>
    <row r="59" spans="1:7" ht="15" customHeight="1" x14ac:dyDescent="0.25">
      <c r="A59">
        <f>IFERROR(VLOOKUP(Tabela15[[#This Row],[Produto]],[1]Planilha1!$K$3:$N$300,4,0),"NÃO")</f>
        <v>0.04</v>
      </c>
      <c r="B59" s="7">
        <v>158</v>
      </c>
      <c r="C59" s="7" t="s">
        <v>75</v>
      </c>
      <c r="D59" s="7" t="s">
        <v>63</v>
      </c>
      <c r="E59" s="7" t="s">
        <v>64</v>
      </c>
      <c r="F59" s="15">
        <f>[2]!Tabela15[[#This Row],[Preço PIS/Cofins/ICMS]]*1.1</f>
        <v>43.670000000000009</v>
      </c>
      <c r="G59" s="10"/>
    </row>
    <row r="60" spans="1:7" ht="15" customHeight="1" x14ac:dyDescent="0.25">
      <c r="A60">
        <f>IFERROR(VLOOKUP(Tabela15[[#This Row],[Produto]],[1]Planilha1!$K$3:$N$300,4,0),"NÃO")</f>
        <v>0.04</v>
      </c>
      <c r="B60" s="7">
        <v>159</v>
      </c>
      <c r="C60" s="7" t="s">
        <v>76</v>
      </c>
      <c r="D60" s="7" t="s">
        <v>63</v>
      </c>
      <c r="E60" s="7" t="s">
        <v>64</v>
      </c>
      <c r="F60" s="15">
        <f>[2]!Tabela15[[#This Row],[Preço PIS/Cofins/ICMS]]*1.1</f>
        <v>76.78</v>
      </c>
      <c r="G60" s="10"/>
    </row>
    <row r="61" spans="1:7" ht="15" customHeight="1" x14ac:dyDescent="0.25">
      <c r="A61">
        <f>IFERROR(VLOOKUP(Tabela15[[#This Row],[Produto]],[1]Planilha1!$K$3:$N$300,4,0),"NÃO")</f>
        <v>0.04</v>
      </c>
      <c r="B61" s="7">
        <v>160</v>
      </c>
      <c r="C61" s="7" t="s">
        <v>77</v>
      </c>
      <c r="D61" s="7" t="s">
        <v>63</v>
      </c>
      <c r="E61" s="7" t="s">
        <v>64</v>
      </c>
      <c r="F61" s="15">
        <f>[2]!Tabela15[[#This Row],[Preço PIS/Cofins/ICMS]]*1.1</f>
        <v>104.54400000000001</v>
      </c>
      <c r="G61" s="10"/>
    </row>
    <row r="62" spans="1:7" ht="15" customHeight="1" x14ac:dyDescent="0.25">
      <c r="A62">
        <f>IFERROR(VLOOKUP(Tabela15[[#This Row],[Produto]],[1]Planilha1!$K$3:$N$300,4,0),"NÃO")</f>
        <v>0.04</v>
      </c>
      <c r="B62" s="7">
        <v>161</v>
      </c>
      <c r="C62" s="7" t="s">
        <v>78</v>
      </c>
      <c r="D62" s="7" t="s">
        <v>63</v>
      </c>
      <c r="E62" s="7" t="s">
        <v>64</v>
      </c>
      <c r="F62" s="15">
        <f>[2]!Tabela15[[#This Row],[Preço PIS/Cofins/ICMS]]*1.1</f>
        <v>213.82900000000001</v>
      </c>
      <c r="G62" s="10"/>
    </row>
    <row r="63" spans="1:7" ht="15" customHeight="1" x14ac:dyDescent="0.25">
      <c r="A63">
        <f>IFERROR(VLOOKUP(Tabela15[[#This Row],[Produto]],[1]Planilha1!$K$3:$N$300,4,0),"NÃO")</f>
        <v>0.04</v>
      </c>
      <c r="B63" s="7">
        <v>162</v>
      </c>
      <c r="C63" s="7" t="s">
        <v>79</v>
      </c>
      <c r="D63" s="7" t="s">
        <v>63</v>
      </c>
      <c r="E63" s="7" t="s">
        <v>64</v>
      </c>
      <c r="F63" s="15">
        <f>[2]!Tabela15[[#This Row],[Preço PIS/Cofins/ICMS]]*1.1</f>
        <v>256.69600000000003</v>
      </c>
      <c r="G63" s="10"/>
    </row>
    <row r="64" spans="1:7" ht="15" customHeight="1" x14ac:dyDescent="0.25">
      <c r="A64">
        <f>IFERROR(VLOOKUP(Tabela15[[#This Row],[Produto]],[1]Planilha1!$K$3:$N$300,4,0),"NÃO")</f>
        <v>0.04</v>
      </c>
      <c r="B64" s="7">
        <v>163</v>
      </c>
      <c r="C64" s="7" t="s">
        <v>80</v>
      </c>
      <c r="D64" s="7" t="s">
        <v>63</v>
      </c>
      <c r="E64" s="7" t="s">
        <v>64</v>
      </c>
      <c r="F64" s="15">
        <f>[2]!Tabela15[[#This Row],[Preço PIS/Cofins/ICMS]]*1.1</f>
        <v>364.48500000000007</v>
      </c>
      <c r="G64" s="10"/>
    </row>
    <row r="65" spans="1:7" ht="15" customHeight="1" x14ac:dyDescent="0.25">
      <c r="A65">
        <f>IFERROR(VLOOKUP(Tabela15[[#This Row],[Produto]],[1]Planilha1!$K$3:$N$300,4,0),"NÃO")</f>
        <v>0.04</v>
      </c>
      <c r="B65" s="7">
        <v>164</v>
      </c>
      <c r="C65" s="7" t="s">
        <v>81</v>
      </c>
      <c r="D65" s="7" t="s">
        <v>63</v>
      </c>
      <c r="E65" s="7" t="s">
        <v>64</v>
      </c>
      <c r="F65" s="15">
        <f>[2]!Tabela15[[#This Row],[Preço PIS/Cofins/ICMS]]*1.1</f>
        <v>605.90200000000016</v>
      </c>
      <c r="G65" s="10"/>
    </row>
    <row r="66" spans="1:7" ht="15" customHeight="1" x14ac:dyDescent="0.25">
      <c r="A66" t="str">
        <f>IFERROR(VLOOKUP(Tabela15[[#This Row],[Produto]],[1]Planilha1!$K$3:$N$300,4,0),"NÃO")</f>
        <v>NÃO</v>
      </c>
      <c r="B66" s="7">
        <v>200</v>
      </c>
      <c r="C66" s="7" t="s">
        <v>82</v>
      </c>
      <c r="D66" s="7" t="s">
        <v>83</v>
      </c>
      <c r="E66" s="7" t="s">
        <v>84</v>
      </c>
      <c r="F66" s="15">
        <f>[2]!Tabela15[[#This Row],[Preço PIS/Cofins/ICMS]]*1.1</f>
        <v>4.7300000000000004</v>
      </c>
      <c r="G66" s="10"/>
    </row>
    <row r="67" spans="1:7" ht="15" customHeight="1" x14ac:dyDescent="0.25">
      <c r="A67" t="str">
        <f>IFERROR(VLOOKUP(Tabela15[[#This Row],[Produto]],[1]Planilha1!$K$3:$N$300,4,0),"NÃO")</f>
        <v>NÃO</v>
      </c>
      <c r="B67" s="7">
        <v>201</v>
      </c>
      <c r="C67" s="7" t="s">
        <v>85</v>
      </c>
      <c r="D67" s="7" t="s">
        <v>83</v>
      </c>
      <c r="E67" s="7" t="s">
        <v>84</v>
      </c>
      <c r="F67" s="15">
        <f>[2]!Tabela15[[#This Row],[Preço PIS/Cofins/ICMS]]*1.1</f>
        <v>6.3690000000000007</v>
      </c>
      <c r="G67" s="10"/>
    </row>
    <row r="68" spans="1:7" ht="15" customHeight="1" x14ac:dyDescent="0.25">
      <c r="A68" t="str">
        <f>IFERROR(VLOOKUP(Tabela15[[#This Row],[Produto]],[1]Planilha1!$K$3:$N$300,4,0),"NÃO")</f>
        <v>NÃO</v>
      </c>
      <c r="B68" s="7">
        <v>202</v>
      </c>
      <c r="C68" s="7" t="s">
        <v>86</v>
      </c>
      <c r="D68" s="7" t="s">
        <v>83</v>
      </c>
      <c r="E68" s="7" t="s">
        <v>84</v>
      </c>
      <c r="F68" s="15">
        <f>[2]!Tabela15[[#This Row],[Preço PIS/Cofins/ICMS]]*1.1</f>
        <v>8.9209999999999994</v>
      </c>
      <c r="G68" s="10"/>
    </row>
    <row r="69" spans="1:7" ht="15" customHeight="1" x14ac:dyDescent="0.25">
      <c r="A69" t="str">
        <f>IFERROR(VLOOKUP(Tabela15[[#This Row],[Produto]],[1]Planilha1!$K$3:$N$300,4,0),"NÃO")</f>
        <v>NÃO</v>
      </c>
      <c r="B69" s="7">
        <v>203</v>
      </c>
      <c r="C69" s="7" t="s">
        <v>87</v>
      </c>
      <c r="D69" s="7" t="s">
        <v>83</v>
      </c>
      <c r="E69" s="7" t="s">
        <v>84</v>
      </c>
      <c r="F69" s="15">
        <f>[2]!Tabela15[[#This Row],[Preço PIS/Cofins/ICMS]]*1.1</f>
        <v>17.940999999999999</v>
      </c>
      <c r="G69" s="10"/>
    </row>
    <row r="70" spans="1:7" ht="15" customHeight="1" x14ac:dyDescent="0.25">
      <c r="A70" t="str">
        <f>IFERROR(VLOOKUP(Tabela15[[#This Row],[Produto]],[1]Planilha1!$K$3:$N$300,4,0),"NÃO")</f>
        <v>NÃO</v>
      </c>
      <c r="B70" s="7">
        <v>204</v>
      </c>
      <c r="C70" s="7" t="s">
        <v>88</v>
      </c>
      <c r="D70" s="7" t="s">
        <v>83</v>
      </c>
      <c r="E70" s="7" t="s">
        <v>84</v>
      </c>
      <c r="F70" s="15">
        <f>[2]!Tabela15[[#This Row],[Preço PIS/Cofins/ICMS]]*1.1</f>
        <v>11.385</v>
      </c>
      <c r="G70" s="10"/>
    </row>
    <row r="71" spans="1:7" ht="15" customHeight="1" x14ac:dyDescent="0.25">
      <c r="A71" t="str">
        <f>IFERROR(VLOOKUP(Tabela15[[#This Row],[Produto]],[1]Planilha1!$K$3:$N$300,4,0),"NÃO")</f>
        <v>NÃO</v>
      </c>
      <c r="B71" s="7">
        <v>205</v>
      </c>
      <c r="C71" s="7" t="s">
        <v>89</v>
      </c>
      <c r="D71" s="7" t="s">
        <v>83</v>
      </c>
      <c r="E71" s="7" t="s">
        <v>84</v>
      </c>
      <c r="F71" s="15">
        <f>[2]!Tabela15[[#This Row],[Preço PIS/Cofins/ICMS]]*1.1</f>
        <v>14.828000000000001</v>
      </c>
      <c r="G71" s="10"/>
    </row>
    <row r="72" spans="1:7" ht="15" customHeight="1" x14ac:dyDescent="0.25">
      <c r="A72" t="str">
        <f>IFERROR(VLOOKUP(Tabela15[[#This Row],[Produto]],[1]Planilha1!$K$3:$N$300,4,0),"NÃO")</f>
        <v>NÃO</v>
      </c>
      <c r="B72" s="12">
        <v>208</v>
      </c>
      <c r="C72" s="12" t="s">
        <v>90</v>
      </c>
      <c r="D72" s="12" t="s">
        <v>83</v>
      </c>
      <c r="E72" s="12" t="s">
        <v>91</v>
      </c>
      <c r="F72" s="14">
        <f>[2]!Tabela15[[#This Row],[Preço PIS/Cofins/ICMS]]*1.07</f>
        <v>0.54570000000000007</v>
      </c>
      <c r="G72" s="10"/>
    </row>
    <row r="73" spans="1:7" ht="15" customHeight="1" x14ac:dyDescent="0.25">
      <c r="A73" t="str">
        <f>IFERROR(VLOOKUP(Tabela15[[#This Row],[Produto]],[1]Planilha1!$K$3:$N$300,4,0),"NÃO")</f>
        <v>NÃO</v>
      </c>
      <c r="B73" s="7">
        <v>209</v>
      </c>
      <c r="C73" s="7" t="s">
        <v>92</v>
      </c>
      <c r="D73" s="7" t="s">
        <v>83</v>
      </c>
      <c r="E73" s="7" t="s">
        <v>91</v>
      </c>
      <c r="F73" s="15">
        <f>[2]!Tabela15[[#This Row],[Preço PIS/Cofins/ICMS]]*1.1</f>
        <v>1.5509999999999999</v>
      </c>
      <c r="G73" s="10"/>
    </row>
    <row r="74" spans="1:7" ht="15" customHeight="1" x14ac:dyDescent="0.25">
      <c r="A74" t="str">
        <f>IFERROR(VLOOKUP(Tabela15[[#This Row],[Produto]],[1]Planilha1!$K$3:$N$300,4,0),"NÃO")</f>
        <v>NÃO</v>
      </c>
      <c r="B74" s="7">
        <v>210</v>
      </c>
      <c r="C74" s="7" t="s">
        <v>93</v>
      </c>
      <c r="D74" s="7" t="s">
        <v>83</v>
      </c>
      <c r="E74" s="7" t="s">
        <v>91</v>
      </c>
      <c r="F74" s="15">
        <f>[2]!Tabela15[[#This Row],[Preço PIS/Cofins/ICMS]]*1.1</f>
        <v>1.54</v>
      </c>
      <c r="G74" s="10"/>
    </row>
    <row r="75" spans="1:7" ht="15" customHeight="1" x14ac:dyDescent="0.25">
      <c r="A75" t="str">
        <f>IFERROR(VLOOKUP(Tabela15[[#This Row],[Produto]],[1]Planilha1!$K$3:$N$300,4,0),"NÃO")</f>
        <v>NÃO</v>
      </c>
      <c r="B75" s="7">
        <v>211</v>
      </c>
      <c r="C75" s="7" t="s">
        <v>94</v>
      </c>
      <c r="D75" s="7" t="s">
        <v>83</v>
      </c>
      <c r="E75" s="7" t="s">
        <v>91</v>
      </c>
      <c r="F75" s="15">
        <f>[2]!Tabela15[[#This Row],[Preço PIS/Cofins/ICMS]]*1.1</f>
        <v>3.9930000000000003</v>
      </c>
      <c r="G75" s="10"/>
    </row>
    <row r="76" spans="1:7" ht="15" customHeight="1" x14ac:dyDescent="0.25">
      <c r="A76" t="str">
        <f>IFERROR(VLOOKUP(Tabela15[[#This Row],[Produto]],[1]Planilha1!$K$3:$N$300,4,0),"NÃO")</f>
        <v>NÃO</v>
      </c>
      <c r="B76" s="7">
        <v>212</v>
      </c>
      <c r="C76" s="7" t="s">
        <v>95</v>
      </c>
      <c r="D76" s="7" t="s">
        <v>83</v>
      </c>
      <c r="E76" s="7" t="s">
        <v>91</v>
      </c>
      <c r="F76" s="15">
        <f>[2]!Tabela15[[#This Row],[Preço PIS/Cofins/ICMS]]*1.1</f>
        <v>3.8610000000000002</v>
      </c>
      <c r="G76" s="10"/>
    </row>
    <row r="77" spans="1:7" ht="15" customHeight="1" x14ac:dyDescent="0.25">
      <c r="A77" t="str">
        <f>IFERROR(VLOOKUP(Tabela15[[#This Row],[Produto]],[1]Planilha1!$K$3:$N$300,4,0),"NÃO")</f>
        <v>NÃO</v>
      </c>
      <c r="B77" s="7">
        <v>213</v>
      </c>
      <c r="C77" s="7" t="s">
        <v>96</v>
      </c>
      <c r="D77" s="7" t="s">
        <v>83</v>
      </c>
      <c r="E77" s="7" t="s">
        <v>91</v>
      </c>
      <c r="F77" s="15">
        <f>[2]!Tabela15[[#This Row],[Preço PIS/Cofins/ICMS]]*1.1</f>
        <v>4.202</v>
      </c>
      <c r="G77" s="10"/>
    </row>
    <row r="78" spans="1:7" ht="15" customHeight="1" x14ac:dyDescent="0.25">
      <c r="A78" t="str">
        <f>IFERROR(VLOOKUP(Tabela15[[#This Row],[Produto]],[1]Planilha1!$K$3:$N$300,4,0),"NÃO")</f>
        <v>NÃO</v>
      </c>
      <c r="B78" s="7">
        <v>214</v>
      </c>
      <c r="C78" s="7" t="s">
        <v>97</v>
      </c>
      <c r="D78" s="7" t="s">
        <v>83</v>
      </c>
      <c r="E78" s="7" t="s">
        <v>91</v>
      </c>
      <c r="F78" s="15">
        <f>[2]!Tabela15[[#This Row],[Preço PIS/Cofins/ICMS]]*1.1</f>
        <v>3.6080000000000001</v>
      </c>
      <c r="G78" s="10"/>
    </row>
    <row r="79" spans="1:7" ht="15" customHeight="1" x14ac:dyDescent="0.25">
      <c r="A79" t="str">
        <f>IFERROR(VLOOKUP(Tabela15[[#This Row],[Produto]],[1]Planilha1!$K$3:$N$300,4,0),"NÃO")</f>
        <v>NÃO</v>
      </c>
      <c r="B79" s="7">
        <v>215</v>
      </c>
      <c r="C79" s="7" t="s">
        <v>98</v>
      </c>
      <c r="D79" s="7" t="s">
        <v>83</v>
      </c>
      <c r="E79" s="7" t="s">
        <v>91</v>
      </c>
      <c r="F79" s="15">
        <f>[2]!Tabela15[[#This Row],[Preço PIS/Cofins/ICMS]]*1.1</f>
        <v>3.5859999999999999</v>
      </c>
      <c r="G79" s="10"/>
    </row>
    <row r="80" spans="1:7" ht="15" customHeight="1" x14ac:dyDescent="0.25">
      <c r="A80" t="str">
        <f>IFERROR(VLOOKUP(Tabela15[[#This Row],[Produto]],[1]Planilha1!$K$3:$N$300,4,0),"NÃO")</f>
        <v>NÃO</v>
      </c>
      <c r="B80" s="7">
        <v>216</v>
      </c>
      <c r="C80" s="7" t="s">
        <v>99</v>
      </c>
      <c r="D80" s="7" t="s">
        <v>83</v>
      </c>
      <c r="E80" s="7" t="s">
        <v>91</v>
      </c>
      <c r="F80" s="15">
        <f>[2]!Tabela15[[#This Row],[Preço PIS/Cofins/ICMS]]*1.1</f>
        <v>6.0609999999999999</v>
      </c>
      <c r="G80" s="10"/>
    </row>
    <row r="81" spans="1:7" ht="15" customHeight="1" x14ac:dyDescent="0.25">
      <c r="A81" t="str">
        <f>IFERROR(VLOOKUP(Tabela15[[#This Row],[Produto]],[1]Planilha1!$K$3:$N$300,4,0),"NÃO")</f>
        <v>NÃO</v>
      </c>
      <c r="B81" s="7">
        <v>217</v>
      </c>
      <c r="C81" s="7" t="s">
        <v>100</v>
      </c>
      <c r="D81" s="7" t="s">
        <v>83</v>
      </c>
      <c r="E81" s="7" t="s">
        <v>91</v>
      </c>
      <c r="F81" s="15">
        <f>[2]!Tabela15[[#This Row],[Preço PIS/Cofins/ICMS]]*1.1</f>
        <v>7.5570000000000004</v>
      </c>
      <c r="G81" s="10"/>
    </row>
    <row r="82" spans="1:7" ht="15" customHeight="1" x14ac:dyDescent="0.25">
      <c r="A82" t="str">
        <f>IFERROR(VLOOKUP(Tabela15[[#This Row],[Produto]],[1]Planilha1!$K$3:$N$300,4,0),"NÃO")</f>
        <v>NÃO</v>
      </c>
      <c r="B82" s="7">
        <v>218</v>
      </c>
      <c r="C82" s="7" t="s">
        <v>101</v>
      </c>
      <c r="D82" s="7" t="s">
        <v>83</v>
      </c>
      <c r="E82" s="7" t="s">
        <v>91</v>
      </c>
      <c r="F82" s="15">
        <f>[2]!Tabela15[[#This Row],[Preço PIS/Cofins/ICMS]]*1.1</f>
        <v>7.5680000000000005</v>
      </c>
      <c r="G82" s="10"/>
    </row>
    <row r="83" spans="1:7" ht="15" customHeight="1" x14ac:dyDescent="0.25">
      <c r="A83" t="str">
        <f>IFERROR(VLOOKUP(Tabela15[[#This Row],[Produto]],[1]Planilha1!$K$3:$N$300,4,0),"NÃO")</f>
        <v>NÃO</v>
      </c>
      <c r="B83" s="7">
        <v>220</v>
      </c>
      <c r="C83" s="7" t="s">
        <v>102</v>
      </c>
      <c r="D83" s="7" t="s">
        <v>83</v>
      </c>
      <c r="E83" s="7" t="s">
        <v>91</v>
      </c>
      <c r="F83" s="15">
        <f>[2]!Tabela15[[#This Row],[Preço PIS/Cofins/ICMS]]*1.1</f>
        <v>0.95700000000000007</v>
      </c>
      <c r="G83" s="10"/>
    </row>
    <row r="84" spans="1:7" ht="15" customHeight="1" x14ac:dyDescent="0.25">
      <c r="A84" t="str">
        <f>IFERROR(VLOOKUP(Tabela15[[#This Row],[Produto]],[1]Planilha1!$K$3:$N$300,4,0),"NÃO")</f>
        <v>NÃO</v>
      </c>
      <c r="B84" s="7">
        <v>221</v>
      </c>
      <c r="C84" s="7" t="s">
        <v>103</v>
      </c>
      <c r="D84" s="7" t="s">
        <v>83</v>
      </c>
      <c r="E84" s="7" t="s">
        <v>91</v>
      </c>
      <c r="F84" s="15">
        <f>[2]!Tabela15[[#This Row],[Preço PIS/Cofins/ICMS]]*1.1</f>
        <v>1.276</v>
      </c>
      <c r="G84" s="10"/>
    </row>
    <row r="85" spans="1:7" ht="15" customHeight="1" x14ac:dyDescent="0.25">
      <c r="A85" t="str">
        <f>IFERROR(VLOOKUP(Tabela15[[#This Row],[Produto]],[1]Planilha1!$K$3:$N$300,4,0),"NÃO")</f>
        <v>NÃO</v>
      </c>
      <c r="B85" s="7">
        <v>222</v>
      </c>
      <c r="C85" s="7" t="s">
        <v>104</v>
      </c>
      <c r="D85" s="7" t="s">
        <v>83</v>
      </c>
      <c r="E85" s="7" t="s">
        <v>91</v>
      </c>
      <c r="F85" s="15">
        <f>[2]!Tabela15[[#This Row],[Preço PIS/Cofins/ICMS]]*1.1</f>
        <v>2.7390000000000003</v>
      </c>
      <c r="G85" s="10"/>
    </row>
    <row r="86" spans="1:7" ht="15" customHeight="1" x14ac:dyDescent="0.25">
      <c r="A86" t="str">
        <f>IFERROR(VLOOKUP(Tabela15[[#This Row],[Produto]],[1]Planilha1!$K$3:$N$300,4,0),"NÃO")</f>
        <v>NÃO</v>
      </c>
      <c r="B86" s="7">
        <v>223</v>
      </c>
      <c r="C86" s="7" t="s">
        <v>105</v>
      </c>
      <c r="D86" s="7" t="s">
        <v>83</v>
      </c>
      <c r="E86" s="7" t="s">
        <v>91</v>
      </c>
      <c r="F86" s="15">
        <f>[2]!Tabela15[[#This Row],[Preço PIS/Cofins/ICMS]]*1.1</f>
        <v>6.8090000000000011</v>
      </c>
      <c r="G86" s="10"/>
    </row>
    <row r="87" spans="1:7" ht="15" customHeight="1" x14ac:dyDescent="0.25">
      <c r="A87" t="str">
        <f>IFERROR(VLOOKUP(Tabela15[[#This Row],[Produto]],[1]Planilha1!$K$3:$N$300,4,0),"NÃO")</f>
        <v>NÃO</v>
      </c>
      <c r="B87" s="7">
        <v>224</v>
      </c>
      <c r="C87" s="7" t="s">
        <v>106</v>
      </c>
      <c r="D87" s="7" t="s">
        <v>83</v>
      </c>
      <c r="E87" s="7" t="s">
        <v>91</v>
      </c>
      <c r="F87" s="15">
        <f>[2]!Tabela15[[#This Row],[Preço PIS/Cofins/ICMS]]*1.1</f>
        <v>5.28</v>
      </c>
      <c r="G87" s="10"/>
    </row>
    <row r="88" spans="1:7" ht="15" customHeight="1" x14ac:dyDescent="0.25">
      <c r="A88" t="str">
        <f>IFERROR(VLOOKUP(Tabela15[[#This Row],[Produto]],[1]Planilha1!$K$3:$N$300,4,0),"NÃO")</f>
        <v>NÃO</v>
      </c>
      <c r="B88" s="7">
        <v>225</v>
      </c>
      <c r="C88" s="7" t="s">
        <v>107</v>
      </c>
      <c r="D88" s="7" t="s">
        <v>83</v>
      </c>
      <c r="E88" s="7" t="s">
        <v>91</v>
      </c>
      <c r="F88" s="15">
        <f>[2]!Tabela15[[#This Row],[Preço PIS/Cofins/ICMS]]*1.1</f>
        <v>7.4250000000000007</v>
      </c>
      <c r="G88" s="10"/>
    </row>
    <row r="89" spans="1:7" ht="15" customHeight="1" x14ac:dyDescent="0.25">
      <c r="A89" t="str">
        <f>IFERROR(VLOOKUP(Tabela15[[#This Row],[Produto]],[1]Planilha1!$K$3:$N$300,4,0),"NÃO")</f>
        <v>NÃO</v>
      </c>
      <c r="B89" s="7">
        <v>226</v>
      </c>
      <c r="C89" s="7" t="s">
        <v>108</v>
      </c>
      <c r="D89" s="7" t="s">
        <v>83</v>
      </c>
      <c r="E89" s="7" t="s">
        <v>91</v>
      </c>
      <c r="F89" s="15">
        <f>[2]!Tabela15[[#This Row],[Preço PIS/Cofins/ICMS]]*1.1</f>
        <v>2.9260000000000006</v>
      </c>
      <c r="G89" s="10"/>
    </row>
    <row r="90" spans="1:7" ht="15" customHeight="1" x14ac:dyDescent="0.25">
      <c r="A90" t="str">
        <f>IFERROR(VLOOKUP(Tabela15[[#This Row],[Produto]],[1]Planilha1!$K$3:$N$300,4,0),"NÃO")</f>
        <v>NÃO</v>
      </c>
      <c r="B90" s="7">
        <v>227</v>
      </c>
      <c r="C90" s="7" t="s">
        <v>109</v>
      </c>
      <c r="D90" s="7" t="s">
        <v>83</v>
      </c>
      <c r="E90" s="7" t="s">
        <v>91</v>
      </c>
      <c r="F90" s="15">
        <f>[2]!Tabela15[[#This Row],[Preço PIS/Cofins/ICMS]]*1.1</f>
        <v>3.0470000000000002</v>
      </c>
      <c r="G90" s="10"/>
    </row>
    <row r="91" spans="1:7" ht="15" customHeight="1" x14ac:dyDescent="0.25">
      <c r="A91" t="str">
        <f>IFERROR(VLOOKUP(Tabela15[[#This Row],[Produto]],[1]Planilha1!$K$3:$N$300,4,0),"NÃO")</f>
        <v>NÃO</v>
      </c>
      <c r="B91" s="7">
        <v>228</v>
      </c>
      <c r="C91" s="7" t="s">
        <v>110</v>
      </c>
      <c r="D91" s="7" t="s">
        <v>83</v>
      </c>
      <c r="E91" s="7" t="s">
        <v>91</v>
      </c>
      <c r="F91" s="15">
        <f>[2]!Tabela15[[#This Row],[Preço PIS/Cofins/ICMS]]*1.1</f>
        <v>13.200000000000001</v>
      </c>
      <c r="G91" s="10"/>
    </row>
    <row r="92" spans="1:7" ht="15" customHeight="1" x14ac:dyDescent="0.25">
      <c r="A92" t="str">
        <f>IFERROR(VLOOKUP(Tabela15[[#This Row],[Produto]],[1]Planilha1!$K$3:$N$300,4,0),"NÃO")</f>
        <v>NÃO</v>
      </c>
      <c r="B92" s="7">
        <v>229</v>
      </c>
      <c r="C92" s="7" t="s">
        <v>111</v>
      </c>
      <c r="D92" s="7" t="s">
        <v>83</v>
      </c>
      <c r="E92" s="7" t="s">
        <v>91</v>
      </c>
      <c r="F92" s="15">
        <f>[2]!Tabela15[[#This Row],[Preço PIS/Cofins/ICMS]]*1.1</f>
        <v>14.355000000000002</v>
      </c>
      <c r="G92" s="10"/>
    </row>
    <row r="93" spans="1:7" ht="15" customHeight="1" x14ac:dyDescent="0.25">
      <c r="A93" t="str">
        <f>IFERROR(VLOOKUP(Tabela15[[#This Row],[Produto]],[1]Planilha1!$K$3:$N$300,4,0),"NÃO")</f>
        <v>NÃO</v>
      </c>
      <c r="B93" s="7">
        <v>230</v>
      </c>
      <c r="C93" s="7" t="s">
        <v>112</v>
      </c>
      <c r="D93" s="7" t="s">
        <v>83</v>
      </c>
      <c r="E93" s="7" t="s">
        <v>91</v>
      </c>
      <c r="F93" s="15">
        <f>[2]!Tabela15[[#This Row],[Preço PIS/Cofins/ICMS]]*1.1</f>
        <v>4.7190000000000003</v>
      </c>
      <c r="G93" s="10"/>
    </row>
    <row r="94" spans="1:7" ht="15" customHeight="1" x14ac:dyDescent="0.25">
      <c r="A94" t="str">
        <f>IFERROR(VLOOKUP(Tabela15[[#This Row],[Produto]],[1]Planilha1!$K$3:$N$300,4,0),"NÃO")</f>
        <v>NÃO</v>
      </c>
      <c r="B94" s="7">
        <v>250</v>
      </c>
      <c r="C94" s="7" t="s">
        <v>113</v>
      </c>
      <c r="D94" s="7" t="s">
        <v>83</v>
      </c>
      <c r="E94" s="7" t="s">
        <v>91</v>
      </c>
      <c r="F94" s="15">
        <f>[2]!Tabela15[[#This Row],[Preço PIS/Cofins/ICMS]]*1.1</f>
        <v>3.1240000000000001</v>
      </c>
      <c r="G94" s="10"/>
    </row>
    <row r="95" spans="1:7" ht="15" customHeight="1" x14ac:dyDescent="0.25">
      <c r="A95" t="str">
        <f>IFERROR(VLOOKUP(Tabela15[[#This Row],[Produto]],[1]Planilha1!$K$3:$N$300,4,0),"NÃO")</f>
        <v>NÃO</v>
      </c>
      <c r="B95" s="7">
        <v>251</v>
      </c>
      <c r="C95" s="7" t="s">
        <v>114</v>
      </c>
      <c r="D95" s="7" t="s">
        <v>83</v>
      </c>
      <c r="E95" s="7" t="s">
        <v>91</v>
      </c>
      <c r="F95" s="15">
        <f>[2]!Tabela15[[#This Row],[Preço PIS/Cofins/ICMS]]*1.1</f>
        <v>3.3109999999999999</v>
      </c>
      <c r="G95" s="10"/>
    </row>
    <row r="96" spans="1:7" ht="15" customHeight="1" x14ac:dyDescent="0.25">
      <c r="A96" t="str">
        <f>IFERROR(VLOOKUP(Tabela15[[#This Row],[Produto]],[1]Planilha1!$K$3:$N$300,4,0),"NÃO")</f>
        <v>NÃO</v>
      </c>
      <c r="B96" s="7">
        <v>252</v>
      </c>
      <c r="C96" s="7" t="s">
        <v>115</v>
      </c>
      <c r="D96" s="7" t="s">
        <v>83</v>
      </c>
      <c r="E96" s="7" t="s">
        <v>91</v>
      </c>
      <c r="F96" s="15">
        <f>[2]!Tabela15[[#This Row],[Preço PIS/Cofins/ICMS]]*1.1</f>
        <v>5.7640000000000011</v>
      </c>
      <c r="G96" s="10"/>
    </row>
    <row r="97" spans="1:7" ht="15" customHeight="1" x14ac:dyDescent="0.25">
      <c r="A97" t="str">
        <f>IFERROR(VLOOKUP(Tabela15[[#This Row],[Produto]],[1]Planilha1!$K$3:$N$300,4,0),"NÃO")</f>
        <v>NÃO</v>
      </c>
      <c r="B97" s="7">
        <v>254</v>
      </c>
      <c r="C97" s="7" t="s">
        <v>116</v>
      </c>
      <c r="D97" s="7" t="s">
        <v>83</v>
      </c>
      <c r="E97" s="7" t="s">
        <v>91</v>
      </c>
      <c r="F97" s="15">
        <f>[2]!Tabela15[[#This Row],[Preço PIS/Cofins/ICMS]]*1.1</f>
        <v>10.274000000000001</v>
      </c>
      <c r="G97" s="10"/>
    </row>
    <row r="98" spans="1:7" ht="15" customHeight="1" x14ac:dyDescent="0.25">
      <c r="A98" t="str">
        <f>IFERROR(VLOOKUP(Tabela15[[#This Row],[Produto]],[1]Planilha1!$K$3:$N$300,4,0),"NÃO")</f>
        <v>NÃO</v>
      </c>
      <c r="B98" s="7">
        <v>256</v>
      </c>
      <c r="C98" s="7" t="s">
        <v>117</v>
      </c>
      <c r="D98" s="7" t="s">
        <v>83</v>
      </c>
      <c r="E98" s="7" t="s">
        <v>91</v>
      </c>
      <c r="F98" s="15">
        <f>[2]!Tabela15[[#This Row],[Preço PIS/Cofins/ICMS]]*1.1</f>
        <v>1.1660000000000001</v>
      </c>
      <c r="G98" s="10"/>
    </row>
    <row r="99" spans="1:7" ht="15" customHeight="1" x14ac:dyDescent="0.25">
      <c r="A99" t="str">
        <f>IFERROR(VLOOKUP(Tabela15[[#This Row],[Produto]],[1]Planilha1!$K$3:$N$300,4,0),"NÃO")</f>
        <v>NÃO</v>
      </c>
      <c r="B99" s="7">
        <v>257</v>
      </c>
      <c r="C99" s="7" t="s">
        <v>118</v>
      </c>
      <c r="D99" s="7" t="s">
        <v>83</v>
      </c>
      <c r="E99" s="7" t="s">
        <v>91</v>
      </c>
      <c r="F99" s="15">
        <f>[2]!Tabela15[[#This Row],[Preço PIS/Cofins/ICMS]]*1.1</f>
        <v>1.518</v>
      </c>
      <c r="G99" s="10"/>
    </row>
    <row r="100" spans="1:7" ht="15" customHeight="1" x14ac:dyDescent="0.25">
      <c r="A100" t="str">
        <f>IFERROR(VLOOKUP(Tabela15[[#This Row],[Produto]],[1]Planilha1!$K$3:$N$300,4,0),"NÃO")</f>
        <v>NÃO</v>
      </c>
      <c r="B100" s="7">
        <v>258</v>
      </c>
      <c r="C100" s="7" t="s">
        <v>119</v>
      </c>
      <c r="D100" s="7" t="s">
        <v>83</v>
      </c>
      <c r="E100" s="7" t="s">
        <v>91</v>
      </c>
      <c r="F100" s="15">
        <f>[2]!Tabela15[[#This Row],[Preço PIS/Cofins/ICMS]]*1.1</f>
        <v>2.8050000000000002</v>
      </c>
      <c r="G100" s="10"/>
    </row>
    <row r="101" spans="1:7" ht="15" customHeight="1" x14ac:dyDescent="0.25">
      <c r="A101" t="str">
        <f>IFERROR(VLOOKUP(Tabela15[[#This Row],[Produto]],[1]Planilha1!$K$3:$N$300,4,0),"NÃO")</f>
        <v>NÃO</v>
      </c>
      <c r="B101" s="7">
        <v>259</v>
      </c>
      <c r="C101" s="7" t="s">
        <v>120</v>
      </c>
      <c r="D101" s="7" t="s">
        <v>83</v>
      </c>
      <c r="E101" s="7" t="s">
        <v>91</v>
      </c>
      <c r="F101" s="15">
        <f>[2]!Tabela15[[#This Row],[Preço PIS/Cofins/ICMS]]*1.1</f>
        <v>8.822000000000001</v>
      </c>
      <c r="G101" s="10"/>
    </row>
    <row r="102" spans="1:7" ht="15" customHeight="1" x14ac:dyDescent="0.25">
      <c r="A102" t="str">
        <f>IFERROR(VLOOKUP(Tabela15[[#This Row],[Produto]],[1]Planilha1!$K$3:$N$300,4,0),"NÃO")</f>
        <v>NÃO</v>
      </c>
      <c r="B102" s="7">
        <v>260</v>
      </c>
      <c r="C102" s="7" t="s">
        <v>121</v>
      </c>
      <c r="D102" s="7" t="s">
        <v>83</v>
      </c>
      <c r="E102" s="7" t="s">
        <v>91</v>
      </c>
      <c r="F102" s="15">
        <f>[2]!Tabela15[[#This Row],[Preço PIS/Cofins/ICMS]]*1.1</f>
        <v>13.123000000000001</v>
      </c>
      <c r="G102" s="10"/>
    </row>
    <row r="103" spans="1:7" ht="15" customHeight="1" x14ac:dyDescent="0.25">
      <c r="A103" t="str">
        <f>IFERROR(VLOOKUP(Tabela15[[#This Row],[Produto]],[1]Planilha1!$K$3:$N$300,4,0),"NÃO")</f>
        <v>NÃO</v>
      </c>
      <c r="B103" s="7">
        <v>261</v>
      </c>
      <c r="C103" s="7" t="s">
        <v>122</v>
      </c>
      <c r="D103" s="7" t="s">
        <v>83</v>
      </c>
      <c r="E103" s="7" t="s">
        <v>91</v>
      </c>
      <c r="F103" s="15">
        <f>[2]!Tabela15[[#This Row],[Preço PIS/Cofins/ICMS]]*1.1</f>
        <v>14.762</v>
      </c>
      <c r="G103" s="10"/>
    </row>
    <row r="104" spans="1:7" ht="15" customHeight="1" x14ac:dyDescent="0.25">
      <c r="A104" t="str">
        <f>IFERROR(VLOOKUP(Tabela15[[#This Row],[Produto]],[1]Planilha1!$K$3:$N$300,4,0),"NÃO")</f>
        <v>NÃO</v>
      </c>
      <c r="B104" s="7">
        <v>262</v>
      </c>
      <c r="C104" s="7" t="s">
        <v>123</v>
      </c>
      <c r="D104" s="7" t="s">
        <v>83</v>
      </c>
      <c r="E104" s="7" t="s">
        <v>91</v>
      </c>
      <c r="F104" s="15">
        <f>[2]!Tabela15[[#This Row],[Preço PIS/Cofins/ICMS]]*1.1</f>
        <v>1.375</v>
      </c>
      <c r="G104" s="10"/>
    </row>
    <row r="105" spans="1:7" ht="15" customHeight="1" x14ac:dyDescent="0.25">
      <c r="A105" t="str">
        <f>IFERROR(VLOOKUP(Tabela15[[#This Row],[Produto]],[1]Planilha1!$K$3:$N$300,4,0),"NÃO")</f>
        <v>NÃO</v>
      </c>
      <c r="B105" s="7">
        <v>263</v>
      </c>
      <c r="C105" s="7" t="s">
        <v>124</v>
      </c>
      <c r="D105" s="7" t="s">
        <v>83</v>
      </c>
      <c r="E105" s="7" t="s">
        <v>91</v>
      </c>
      <c r="F105" s="15">
        <f>[2]!Tabela15[[#This Row],[Preço PIS/Cofins/ICMS]]*1.1</f>
        <v>3.2670000000000003</v>
      </c>
      <c r="G105" s="10"/>
    </row>
    <row r="106" spans="1:7" ht="15" customHeight="1" x14ac:dyDescent="0.25">
      <c r="A106" t="str">
        <f>IFERROR(VLOOKUP(Tabela15[[#This Row],[Produto]],[1]Planilha1!$K$3:$N$300,4,0),"NÃO")</f>
        <v>NÃO</v>
      </c>
      <c r="B106" s="7">
        <v>270</v>
      </c>
      <c r="C106" s="7" t="s">
        <v>125</v>
      </c>
      <c r="D106" s="7" t="s">
        <v>83</v>
      </c>
      <c r="E106" s="7" t="s">
        <v>91</v>
      </c>
      <c r="F106" s="15">
        <f>[2]!Tabela15[[#This Row],[Preço PIS/Cofins/ICMS]]*1.1</f>
        <v>0.75900000000000001</v>
      </c>
      <c r="G106" s="10"/>
    </row>
    <row r="107" spans="1:7" ht="15" customHeight="1" x14ac:dyDescent="0.25">
      <c r="A107" t="str">
        <f>IFERROR(VLOOKUP(Tabela15[[#This Row],[Produto]],[1]Planilha1!$K$3:$N$300,4,0),"NÃO")</f>
        <v>NÃO</v>
      </c>
      <c r="B107" s="7">
        <v>271</v>
      </c>
      <c r="C107" s="7" t="s">
        <v>126</v>
      </c>
      <c r="D107" s="7" t="s">
        <v>83</v>
      </c>
      <c r="E107" s="7" t="s">
        <v>91</v>
      </c>
      <c r="F107" s="15">
        <f>[2]!Tabela15[[#This Row],[Preço PIS/Cofins/ICMS]]*1.1</f>
        <v>1.2320000000000002</v>
      </c>
      <c r="G107" s="10"/>
    </row>
    <row r="108" spans="1:7" ht="15" customHeight="1" x14ac:dyDescent="0.25">
      <c r="A108" t="str">
        <f>IFERROR(VLOOKUP(Tabela15[[#This Row],[Produto]],[1]Planilha1!$K$3:$N$300,4,0),"NÃO")</f>
        <v>NÃO</v>
      </c>
      <c r="B108" s="7">
        <v>272</v>
      </c>
      <c r="C108" s="7" t="s">
        <v>127</v>
      </c>
      <c r="D108" s="7" t="s">
        <v>83</v>
      </c>
      <c r="E108" s="7" t="s">
        <v>91</v>
      </c>
      <c r="F108" s="15">
        <f>[2]!Tabela15[[#This Row],[Preço PIS/Cofins/ICMS]]*1.1</f>
        <v>2.101</v>
      </c>
      <c r="G108" s="10"/>
    </row>
    <row r="109" spans="1:7" ht="15" customHeight="1" x14ac:dyDescent="0.25">
      <c r="A109" t="str">
        <f>IFERROR(VLOOKUP(Tabela15[[#This Row],[Produto]],[1]Planilha1!$K$3:$N$300,4,0),"NÃO")</f>
        <v>NÃO</v>
      </c>
      <c r="B109" s="7">
        <v>273</v>
      </c>
      <c r="C109" s="7" t="s">
        <v>128</v>
      </c>
      <c r="D109" s="7" t="s">
        <v>83</v>
      </c>
      <c r="E109" s="7" t="s">
        <v>91</v>
      </c>
      <c r="F109" s="15">
        <f>[2]!Tabela15[[#This Row],[Preço PIS/Cofins/ICMS]]*1.1</f>
        <v>6.1050000000000004</v>
      </c>
      <c r="G109" s="10"/>
    </row>
    <row r="110" spans="1:7" ht="15" customHeight="1" x14ac:dyDescent="0.25">
      <c r="A110" t="str">
        <f>IFERROR(VLOOKUP(Tabela15[[#This Row],[Produto]],[1]Planilha1!$K$3:$N$300,4,0),"NÃO")</f>
        <v>NÃO</v>
      </c>
      <c r="B110" s="7">
        <v>274</v>
      </c>
      <c r="C110" s="7" t="s">
        <v>129</v>
      </c>
      <c r="D110" s="7" t="s">
        <v>83</v>
      </c>
      <c r="E110" s="7" t="s">
        <v>91</v>
      </c>
      <c r="F110" s="15">
        <f>[2]!Tabela15[[#This Row],[Preço PIS/Cofins/ICMS]]*1.1</f>
        <v>5.335</v>
      </c>
      <c r="G110" s="10"/>
    </row>
    <row r="111" spans="1:7" ht="15" customHeight="1" x14ac:dyDescent="0.25">
      <c r="A111" t="str">
        <f>IFERROR(VLOOKUP(Tabela15[[#This Row],[Produto]],[1]Planilha1!$K$3:$N$300,4,0),"NÃO")</f>
        <v>NÃO</v>
      </c>
      <c r="B111" s="12">
        <v>275</v>
      </c>
      <c r="C111" s="12" t="s">
        <v>130</v>
      </c>
      <c r="D111" s="12" t="s">
        <v>83</v>
      </c>
      <c r="E111" s="12" t="s">
        <v>91</v>
      </c>
      <c r="F111" s="14">
        <f>[2]!Tabela15[[#This Row],[Preço PIS/Cofins/ICMS]]*1.07</f>
        <v>7.9929000000000006</v>
      </c>
      <c r="G111" s="10"/>
    </row>
    <row r="112" spans="1:7" ht="15" customHeight="1" x14ac:dyDescent="0.25">
      <c r="A112" t="str">
        <f>IFERROR(VLOOKUP(Tabela15[[#This Row],[Produto]],[1]Planilha1!$K$3:$N$300,4,0),"NÃO")</f>
        <v>NÃO</v>
      </c>
      <c r="B112" s="7">
        <v>285</v>
      </c>
      <c r="C112" s="7" t="s">
        <v>131</v>
      </c>
      <c r="D112" s="7" t="s">
        <v>83</v>
      </c>
      <c r="E112" s="7" t="s">
        <v>91</v>
      </c>
      <c r="F112" s="15">
        <f>[2]!Tabela15[[#This Row],[Preço PIS/Cofins/ICMS]]*1.1</f>
        <v>1.2429999999999999</v>
      </c>
      <c r="G112" s="10"/>
    </row>
    <row r="113" spans="1:7" ht="15" customHeight="1" x14ac:dyDescent="0.25">
      <c r="A113" t="str">
        <f>IFERROR(VLOOKUP(Tabela15[[#This Row],[Produto]],[1]Planilha1!$K$3:$N$300,4,0),"NÃO")</f>
        <v>NÃO</v>
      </c>
      <c r="B113" s="7">
        <v>286</v>
      </c>
      <c r="C113" s="7" t="s">
        <v>132</v>
      </c>
      <c r="D113" s="7" t="s">
        <v>83</v>
      </c>
      <c r="E113" s="7" t="s">
        <v>91</v>
      </c>
      <c r="F113" s="15">
        <f>[2]!Tabela15[[#This Row],[Preço PIS/Cofins/ICMS]]*1.1</f>
        <v>1.7490000000000003</v>
      </c>
      <c r="G113" s="10"/>
    </row>
    <row r="114" spans="1:7" ht="15" customHeight="1" x14ac:dyDescent="0.25">
      <c r="A114" t="str">
        <f>IFERROR(VLOOKUP(Tabela15[[#This Row],[Produto]],[1]Planilha1!$K$3:$N$300,4,0),"NÃO")</f>
        <v>NÃO</v>
      </c>
      <c r="B114" s="12">
        <v>287</v>
      </c>
      <c r="C114" s="12" t="s">
        <v>133</v>
      </c>
      <c r="D114" s="12" t="s">
        <v>83</v>
      </c>
      <c r="E114" s="12" t="s">
        <v>91</v>
      </c>
      <c r="F114" s="14">
        <f>[2]!Tabela15[[#This Row],[Preço PIS/Cofins/ICMS]]*1.07</f>
        <v>0.43869999999999998</v>
      </c>
      <c r="G114" s="10"/>
    </row>
    <row r="115" spans="1:7" ht="15" customHeight="1" x14ac:dyDescent="0.25">
      <c r="A115" t="str">
        <f>IFERROR(VLOOKUP(Tabela15[[#This Row],[Produto]],[1]Planilha1!$K$3:$N$300,4,0),"NÃO")</f>
        <v>NÃO</v>
      </c>
      <c r="B115" s="7">
        <v>288</v>
      </c>
      <c r="C115" s="7" t="s">
        <v>134</v>
      </c>
      <c r="D115" s="7" t="s">
        <v>83</v>
      </c>
      <c r="E115" s="7" t="s">
        <v>91</v>
      </c>
      <c r="F115" s="15">
        <f>[2]!Tabela15[[#This Row],[Preço PIS/Cofins/ICMS]]*1.1</f>
        <v>0.77</v>
      </c>
      <c r="G115" s="10"/>
    </row>
    <row r="116" spans="1:7" ht="15" customHeight="1" x14ac:dyDescent="0.25">
      <c r="A116" t="str">
        <f>IFERROR(VLOOKUP(Tabela15[[#This Row],[Produto]],[1]Planilha1!$K$3:$N$300,4,0),"NÃO")</f>
        <v>NÃO</v>
      </c>
      <c r="B116" s="7">
        <v>289</v>
      </c>
      <c r="C116" s="7" t="s">
        <v>135</v>
      </c>
      <c r="D116" s="7" t="s">
        <v>83</v>
      </c>
      <c r="E116" s="7" t="s">
        <v>91</v>
      </c>
      <c r="F116" s="15">
        <f>[2]!Tabela15[[#This Row],[Preço PIS/Cofins/ICMS]]*1.1</f>
        <v>1.6280000000000001</v>
      </c>
      <c r="G116" s="10"/>
    </row>
    <row r="117" spans="1:7" ht="15" customHeight="1" x14ac:dyDescent="0.25">
      <c r="A117" t="str">
        <f>IFERROR(VLOOKUP(Tabela15[[#This Row],[Produto]],[1]Planilha1!$K$3:$N$300,4,0),"NÃO")</f>
        <v>NÃO</v>
      </c>
      <c r="B117" s="7">
        <v>290</v>
      </c>
      <c r="C117" s="7" t="s">
        <v>136</v>
      </c>
      <c r="D117" s="7" t="s">
        <v>83</v>
      </c>
      <c r="E117" s="7" t="s">
        <v>91</v>
      </c>
      <c r="F117" s="15">
        <f>[2]!Tabela15[[#This Row],[Preço PIS/Cofins/ICMS]]*1.1</f>
        <v>4.6640000000000006</v>
      </c>
      <c r="G117" s="10"/>
    </row>
    <row r="118" spans="1:7" ht="15" customHeight="1" x14ac:dyDescent="0.25">
      <c r="A118" t="str">
        <f>IFERROR(VLOOKUP(Tabela15[[#This Row],[Produto]],[1]Planilha1!$K$3:$N$300,4,0),"NÃO")</f>
        <v>NÃO</v>
      </c>
      <c r="B118" s="7">
        <v>291</v>
      </c>
      <c r="C118" s="7" t="s">
        <v>137</v>
      </c>
      <c r="D118" s="7" t="s">
        <v>83</v>
      </c>
      <c r="E118" s="7" t="s">
        <v>91</v>
      </c>
      <c r="F118" s="15">
        <f>[2]!Tabela15[[#This Row],[Preço PIS/Cofins/ICMS]]*1.1</f>
        <v>3.2120000000000002</v>
      </c>
      <c r="G118" s="10"/>
    </row>
    <row r="119" spans="1:7" ht="15" customHeight="1" x14ac:dyDescent="0.25">
      <c r="A119" t="str">
        <f>IFERROR(VLOOKUP(Tabela15[[#This Row],[Produto]],[1]Planilha1!$K$3:$N$300,4,0),"NÃO")</f>
        <v>NÃO</v>
      </c>
      <c r="B119" s="7">
        <v>292</v>
      </c>
      <c r="C119" s="7" t="s">
        <v>138</v>
      </c>
      <c r="D119" s="7" t="s">
        <v>83</v>
      </c>
      <c r="E119" s="7" t="s">
        <v>91</v>
      </c>
      <c r="F119" s="15">
        <f>[2]!Tabela15[[#This Row],[Preço PIS/Cofins/ICMS]]*1.1</f>
        <v>6.9520000000000008</v>
      </c>
      <c r="G119" s="10"/>
    </row>
    <row r="120" spans="1:7" ht="15" customHeight="1" x14ac:dyDescent="0.25">
      <c r="A120" t="str">
        <f>IFERROR(VLOOKUP(Tabela15[[#This Row],[Produto]],[1]Planilha1!$K$3:$N$300,4,0),"NÃO")</f>
        <v>NÃO</v>
      </c>
      <c r="B120" s="12">
        <v>293</v>
      </c>
      <c r="C120" s="12" t="s">
        <v>139</v>
      </c>
      <c r="D120" s="12" t="s">
        <v>83</v>
      </c>
      <c r="E120" s="12" t="s">
        <v>91</v>
      </c>
      <c r="F120" s="14">
        <f>[2]!Tabela15[[#This Row],[Preço PIS/Cofins/ICMS]]*1.07</f>
        <v>0.26750000000000002</v>
      </c>
      <c r="G120" s="10"/>
    </row>
    <row r="121" spans="1:7" ht="15" customHeight="1" x14ac:dyDescent="0.25">
      <c r="A121" t="str">
        <f>IFERROR(VLOOKUP(Tabela15[[#This Row],[Produto]],[1]Planilha1!$K$3:$N$300,4,0),"NÃO")</f>
        <v>NÃO</v>
      </c>
      <c r="B121" s="12">
        <v>294</v>
      </c>
      <c r="C121" s="12" t="s">
        <v>140</v>
      </c>
      <c r="D121" s="12" t="s">
        <v>83</v>
      </c>
      <c r="E121" s="12" t="s">
        <v>91</v>
      </c>
      <c r="F121" s="14">
        <f>[2]!Tabela15[[#This Row],[Preço PIS/Cofins/ICMS]]*1.07</f>
        <v>0.55640000000000001</v>
      </c>
      <c r="G121" s="10"/>
    </row>
    <row r="122" spans="1:7" ht="15" customHeight="1" x14ac:dyDescent="0.25">
      <c r="A122" t="str">
        <f>IFERROR(VLOOKUP(Tabela15[[#This Row],[Produto]],[1]Planilha1!$K$3:$N$300,4,0),"NÃO")</f>
        <v>NÃO</v>
      </c>
      <c r="B122" s="7">
        <v>295</v>
      </c>
      <c r="C122" s="7" t="s">
        <v>141</v>
      </c>
      <c r="D122" s="7" t="s">
        <v>83</v>
      </c>
      <c r="E122" s="7" t="s">
        <v>91</v>
      </c>
      <c r="F122" s="15">
        <f>[2]!Tabela15[[#This Row],[Preço PIS/Cofins/ICMS]]*1.1</f>
        <v>2.1670000000000003</v>
      </c>
      <c r="G122" s="10"/>
    </row>
    <row r="123" spans="1:7" ht="15" customHeight="1" x14ac:dyDescent="0.25">
      <c r="A123" t="str">
        <f>IFERROR(VLOOKUP(Tabela15[[#This Row],[Produto]],[1]Planilha1!$K$3:$N$300,4,0),"NÃO")</f>
        <v>NÃO</v>
      </c>
      <c r="B123" s="12">
        <v>296</v>
      </c>
      <c r="C123" s="12" t="s">
        <v>142</v>
      </c>
      <c r="D123" s="12" t="s">
        <v>83</v>
      </c>
      <c r="E123" s="12" t="s">
        <v>91</v>
      </c>
      <c r="F123" s="14">
        <f>[2]!Tabela15[[#This Row],[Preço PIS/Cofins/ICMS]]*1.07</f>
        <v>5.6496000000000004</v>
      </c>
      <c r="G123" s="10"/>
    </row>
    <row r="124" spans="1:7" ht="15" customHeight="1" x14ac:dyDescent="0.25">
      <c r="A124" t="str">
        <f>IFERROR(VLOOKUP(Tabela15[[#This Row],[Produto]],[1]Planilha1!$K$3:$N$300,4,0),"NÃO")</f>
        <v>NÃO</v>
      </c>
      <c r="B124" s="7">
        <v>297</v>
      </c>
      <c r="C124" s="7" t="s">
        <v>143</v>
      </c>
      <c r="D124" s="7" t="s">
        <v>83</v>
      </c>
      <c r="E124" s="7" t="s">
        <v>91</v>
      </c>
      <c r="F124" s="15">
        <f>[2]!Tabela15[[#This Row],[Preço PIS/Cofins/ICMS]]*1.1</f>
        <v>2.5960000000000001</v>
      </c>
      <c r="G124" s="10"/>
    </row>
    <row r="125" spans="1:7" ht="15" customHeight="1" x14ac:dyDescent="0.25">
      <c r="A125" t="str">
        <f>IFERROR(VLOOKUP(Tabela15[[#This Row],[Produto]],[1]Planilha1!$K$3:$N$300,4,0),"NÃO")</f>
        <v>NÃO</v>
      </c>
      <c r="B125" s="7">
        <v>298</v>
      </c>
      <c r="C125" s="7" t="s">
        <v>144</v>
      </c>
      <c r="D125" s="7" t="s">
        <v>83</v>
      </c>
      <c r="E125" s="7" t="s">
        <v>91</v>
      </c>
      <c r="F125" s="15">
        <f>[2]!Tabela15[[#This Row],[Preço PIS/Cofins/ICMS]]*1.1</f>
        <v>8.7560000000000002</v>
      </c>
      <c r="G125" s="10"/>
    </row>
    <row r="126" spans="1:7" ht="15" customHeight="1" x14ac:dyDescent="0.25">
      <c r="A126" t="str">
        <f>IFERROR(VLOOKUP(Tabela15[[#This Row],[Produto]],[1]Planilha1!$K$3:$N$300,4,0),"NÃO")</f>
        <v>NÃO</v>
      </c>
      <c r="B126" s="7">
        <v>299</v>
      </c>
      <c r="C126" s="7" t="s">
        <v>145</v>
      </c>
      <c r="D126" s="7" t="s">
        <v>83</v>
      </c>
      <c r="E126" s="7" t="s">
        <v>91</v>
      </c>
      <c r="F126" s="15">
        <f>[2]!Tabela15[[#This Row],[Preço PIS/Cofins/ICMS]]*1.1</f>
        <v>1.4630000000000003</v>
      </c>
      <c r="G126" s="10"/>
    </row>
    <row r="127" spans="1:7" ht="15" customHeight="1" x14ac:dyDescent="0.25">
      <c r="A127" t="str">
        <f>IFERROR(VLOOKUP(Tabela15[[#This Row],[Produto]],[1]Planilha1!$K$3:$N$300,4,0),"NÃO")</f>
        <v>NÃO</v>
      </c>
      <c r="B127" s="7">
        <v>300</v>
      </c>
      <c r="C127" s="7" t="s">
        <v>146</v>
      </c>
      <c r="D127" s="7" t="s">
        <v>83</v>
      </c>
      <c r="E127" s="7" t="s">
        <v>91</v>
      </c>
      <c r="F127" s="15">
        <f>[2]!Tabela15[[#This Row],[Preço PIS/Cofins/ICMS]]*1.1</f>
        <v>2.2549999999999999</v>
      </c>
      <c r="G127" s="10"/>
    </row>
    <row r="128" spans="1:7" ht="15" customHeight="1" x14ac:dyDescent="0.25">
      <c r="A128" t="str">
        <f>IFERROR(VLOOKUP(Tabela15[[#This Row],[Produto]],[1]Planilha1!$K$3:$N$300,4,0),"NÃO")</f>
        <v>NÃO</v>
      </c>
      <c r="B128" s="7">
        <v>301</v>
      </c>
      <c r="C128" s="7" t="s">
        <v>147</v>
      </c>
      <c r="D128" s="7" t="s">
        <v>83</v>
      </c>
      <c r="E128" s="7" t="s">
        <v>91</v>
      </c>
      <c r="F128" s="15">
        <f>[2]!Tabela15[[#This Row],[Preço PIS/Cofins/ICMS]]*1.1</f>
        <v>5.346000000000001</v>
      </c>
      <c r="G128" s="10"/>
    </row>
    <row r="129" spans="1:7" ht="15" customHeight="1" x14ac:dyDescent="0.25">
      <c r="A129" t="str">
        <f>IFERROR(VLOOKUP(Tabela15[[#This Row],[Produto]],[1]Planilha1!$K$3:$N$300,4,0),"NÃO")</f>
        <v>NÃO</v>
      </c>
      <c r="B129" s="7">
        <v>302</v>
      </c>
      <c r="C129" s="7" t="s">
        <v>148</v>
      </c>
      <c r="D129" s="7" t="s">
        <v>83</v>
      </c>
      <c r="E129" s="7" t="s">
        <v>91</v>
      </c>
      <c r="F129" s="15">
        <f>[2]!Tabela15[[#This Row],[Preço PIS/Cofins/ICMS]]*1.1</f>
        <v>10.703000000000001</v>
      </c>
      <c r="G129" s="10"/>
    </row>
    <row r="130" spans="1:7" ht="15" customHeight="1" x14ac:dyDescent="0.25">
      <c r="A130" t="str">
        <f>IFERROR(VLOOKUP(Tabela15[[#This Row],[Produto]],[1]Planilha1!$K$3:$N$300,4,0),"NÃO")</f>
        <v>NÃO</v>
      </c>
      <c r="B130" s="7">
        <v>303</v>
      </c>
      <c r="C130" s="7" t="s">
        <v>149</v>
      </c>
      <c r="D130" s="7" t="s">
        <v>83</v>
      </c>
      <c r="E130" s="7" t="s">
        <v>91</v>
      </c>
      <c r="F130" s="15">
        <f>[2]!Tabela15[[#This Row],[Preço PIS/Cofins/ICMS]]*1.1</f>
        <v>13.365000000000002</v>
      </c>
      <c r="G130" s="10"/>
    </row>
    <row r="131" spans="1:7" ht="15" customHeight="1" x14ac:dyDescent="0.25">
      <c r="A131" t="str">
        <f>IFERROR(VLOOKUP(Tabela15[[#This Row],[Produto]],[1]Planilha1!$K$3:$N$300,4,0),"NÃO")</f>
        <v>NÃO</v>
      </c>
      <c r="B131" s="7">
        <v>304</v>
      </c>
      <c r="C131" s="7" t="s">
        <v>150</v>
      </c>
      <c r="D131" s="7" t="s">
        <v>83</v>
      </c>
      <c r="E131" s="7" t="s">
        <v>91</v>
      </c>
      <c r="F131" s="15">
        <f>[2]!Tabela15[[#This Row],[Preço PIS/Cofins/ICMS]]*1.1</f>
        <v>27.654000000000003</v>
      </c>
      <c r="G131" s="10"/>
    </row>
    <row r="132" spans="1:7" ht="15" customHeight="1" x14ac:dyDescent="0.25">
      <c r="A132" t="str">
        <f>IFERROR(VLOOKUP(Tabela15[[#This Row],[Produto]],[1]Planilha1!$K$3:$N$300,4,0),"NÃO")</f>
        <v>NÃO</v>
      </c>
      <c r="B132" s="7">
        <v>305</v>
      </c>
      <c r="C132" s="7" t="s">
        <v>151</v>
      </c>
      <c r="D132" s="7" t="s">
        <v>83</v>
      </c>
      <c r="E132" s="7" t="s">
        <v>91</v>
      </c>
      <c r="F132" s="15">
        <f>[2]!Tabela15[[#This Row],[Preço PIS/Cofins/ICMS]]*1.1</f>
        <v>2.7390000000000003</v>
      </c>
      <c r="G132" s="10"/>
    </row>
    <row r="133" spans="1:7" ht="15" customHeight="1" x14ac:dyDescent="0.25">
      <c r="A133" t="str">
        <f>IFERROR(VLOOKUP(Tabela15[[#This Row],[Produto]],[1]Planilha1!$K$3:$N$300,4,0),"NÃO")</f>
        <v>NÃO</v>
      </c>
      <c r="B133" s="7">
        <v>306</v>
      </c>
      <c r="C133" s="7" t="s">
        <v>152</v>
      </c>
      <c r="D133" s="7" t="s">
        <v>83</v>
      </c>
      <c r="E133" s="7" t="s">
        <v>91</v>
      </c>
      <c r="F133" s="15">
        <f>[2]!Tabela15[[#This Row],[Preço PIS/Cofins/ICMS]]*1.1</f>
        <v>5.2580000000000009</v>
      </c>
      <c r="G133" s="10"/>
    </row>
    <row r="134" spans="1:7" ht="15" customHeight="1" x14ac:dyDescent="0.25">
      <c r="A134" t="str">
        <f>IFERROR(VLOOKUP(Tabela15[[#This Row],[Produto]],[1]Planilha1!$K$3:$N$300,4,0),"NÃO")</f>
        <v>NÃO</v>
      </c>
      <c r="B134" s="7">
        <v>307</v>
      </c>
      <c r="C134" s="7" t="s">
        <v>153</v>
      </c>
      <c r="D134" s="7" t="s">
        <v>83</v>
      </c>
      <c r="E134" s="7" t="s">
        <v>91</v>
      </c>
      <c r="F134" s="15">
        <f>[2]!Tabela15[[#This Row],[Preço PIS/Cofins/ICMS]]*1.1</f>
        <v>9.713000000000001</v>
      </c>
      <c r="G134" s="10"/>
    </row>
    <row r="135" spans="1:7" ht="15" customHeight="1" x14ac:dyDescent="0.25">
      <c r="A135" t="str">
        <f>IFERROR(VLOOKUP(Tabela15[[#This Row],[Produto]],[1]Planilha1!$K$3:$N$300,4,0),"NÃO")</f>
        <v>NÃO</v>
      </c>
      <c r="B135" s="7">
        <v>308</v>
      </c>
      <c r="C135" s="7" t="s">
        <v>154</v>
      </c>
      <c r="D135" s="7" t="s">
        <v>83</v>
      </c>
      <c r="E135" s="7" t="s">
        <v>91</v>
      </c>
      <c r="F135" s="15">
        <f>[2]!Tabela15[[#This Row],[Preço PIS/Cofins/ICMS]]*1.1</f>
        <v>3.7290000000000005</v>
      </c>
      <c r="G135" s="10"/>
    </row>
    <row r="136" spans="1:7" ht="15" customHeight="1" x14ac:dyDescent="0.25">
      <c r="A136" t="str">
        <f>IFERROR(VLOOKUP(Tabela15[[#This Row],[Produto]],[1]Planilha1!$K$3:$N$300,4,0),"NÃO")</f>
        <v>NÃO</v>
      </c>
      <c r="B136" s="7">
        <v>309</v>
      </c>
      <c r="C136" s="7" t="s">
        <v>155</v>
      </c>
      <c r="D136" s="7" t="s">
        <v>83</v>
      </c>
      <c r="E136" s="7" t="s">
        <v>91</v>
      </c>
      <c r="F136" s="15">
        <f>[2]!Tabela15[[#This Row],[Preço PIS/Cofins/ICMS]]*1.1</f>
        <v>4.5979999999999999</v>
      </c>
      <c r="G136" s="10"/>
    </row>
    <row r="137" spans="1:7" ht="15" customHeight="1" x14ac:dyDescent="0.25">
      <c r="A137" t="str">
        <f>IFERROR(VLOOKUP(Tabela15[[#This Row],[Produto]],[1]Planilha1!$K$3:$N$300,4,0),"NÃO")</f>
        <v>NÃO</v>
      </c>
      <c r="B137" s="7">
        <v>310</v>
      </c>
      <c r="C137" s="7" t="s">
        <v>156</v>
      </c>
      <c r="D137" s="7" t="s">
        <v>83</v>
      </c>
      <c r="E137" s="7" t="s">
        <v>91</v>
      </c>
      <c r="F137" s="15">
        <f>[2]!Tabela15[[#This Row],[Preço PIS/Cofins/ICMS]]*1.1</f>
        <v>9.5370000000000008</v>
      </c>
      <c r="G137" s="10"/>
    </row>
    <row r="138" spans="1:7" ht="15" customHeight="1" x14ac:dyDescent="0.25">
      <c r="A138" t="str">
        <f>IFERROR(VLOOKUP(Tabela15[[#This Row],[Produto]],[1]Planilha1!$K$3:$N$300,4,0),"NÃO")</f>
        <v>NÃO</v>
      </c>
      <c r="B138" s="7">
        <v>311</v>
      </c>
      <c r="C138" s="7" t="s">
        <v>157</v>
      </c>
      <c r="D138" s="7" t="s">
        <v>83</v>
      </c>
      <c r="E138" s="7" t="s">
        <v>91</v>
      </c>
      <c r="F138" s="15">
        <f>[2]!Tabela15[[#This Row],[Preço PIS/Cofins/ICMS]]*1.1</f>
        <v>14.740000000000002</v>
      </c>
      <c r="G138" s="10"/>
    </row>
    <row r="139" spans="1:7" ht="15" customHeight="1" x14ac:dyDescent="0.25">
      <c r="A139" t="str">
        <f>IFERROR(VLOOKUP(Tabela15[[#This Row],[Produto]],[1]Planilha1!$K$3:$N$300,4,0),"NÃO")</f>
        <v>NÃO</v>
      </c>
      <c r="B139" s="7">
        <v>312</v>
      </c>
      <c r="C139" s="7" t="s">
        <v>158</v>
      </c>
      <c r="D139" s="7" t="s">
        <v>83</v>
      </c>
      <c r="E139" s="7" t="s">
        <v>91</v>
      </c>
      <c r="F139" s="15">
        <f>[2]!Tabela15[[#This Row],[Preço PIS/Cofins/ICMS]]*1.1</f>
        <v>17.875</v>
      </c>
      <c r="G139" s="10"/>
    </row>
    <row r="140" spans="1:7" ht="15" customHeight="1" x14ac:dyDescent="0.25">
      <c r="A140" t="str">
        <f>IFERROR(VLOOKUP(Tabela15[[#This Row],[Produto]],[1]Planilha1!$K$3:$N$300,4,0),"NÃO")</f>
        <v>NÃO</v>
      </c>
      <c r="B140" s="7">
        <v>313</v>
      </c>
      <c r="C140" s="7" t="s">
        <v>159</v>
      </c>
      <c r="D140" s="7" t="s">
        <v>83</v>
      </c>
      <c r="E140" s="7" t="s">
        <v>91</v>
      </c>
      <c r="F140" s="15">
        <f>[2]!Tabela15[[#This Row],[Preço PIS/Cofins/ICMS]]*1.1</f>
        <v>25.872</v>
      </c>
      <c r="G140" s="10"/>
    </row>
    <row r="141" spans="1:7" ht="15" customHeight="1" x14ac:dyDescent="0.25">
      <c r="A141" t="str">
        <f>IFERROR(VLOOKUP(Tabela15[[#This Row],[Produto]],[1]Planilha1!$K$3:$N$300,4,0),"NÃO")</f>
        <v>NÃO</v>
      </c>
      <c r="B141" s="7">
        <v>314</v>
      </c>
      <c r="C141" s="7" t="s">
        <v>160</v>
      </c>
      <c r="D141" s="7" t="s">
        <v>83</v>
      </c>
      <c r="E141" s="7" t="s">
        <v>91</v>
      </c>
      <c r="F141" s="15">
        <f>[2]!Tabela15[[#This Row],[Preço PIS/Cofins/ICMS]]*1.1</f>
        <v>117.90900000000001</v>
      </c>
      <c r="G141" s="10"/>
    </row>
    <row r="142" spans="1:7" ht="15" customHeight="1" x14ac:dyDescent="0.25">
      <c r="A142" t="str">
        <f>IFERROR(VLOOKUP(Tabela15[[#This Row],[Produto]],[1]Planilha1!$K$3:$N$300,4,0),"NÃO")</f>
        <v>NÃO</v>
      </c>
      <c r="B142" s="7">
        <v>315</v>
      </c>
      <c r="C142" s="7" t="s">
        <v>161</v>
      </c>
      <c r="D142" s="7" t="s">
        <v>83</v>
      </c>
      <c r="E142" s="7" t="s">
        <v>91</v>
      </c>
      <c r="F142" s="15">
        <f>[2]!Tabela15[[#This Row],[Preço PIS/Cofins/ICMS]]*1.1</f>
        <v>153.285</v>
      </c>
      <c r="G142" s="10"/>
    </row>
    <row r="143" spans="1:7" ht="15" customHeight="1" x14ac:dyDescent="0.25">
      <c r="A143" t="str">
        <f>IFERROR(VLOOKUP(Tabela15[[#This Row],[Produto]],[1]Planilha1!$K$3:$N$300,4,0),"NÃO")</f>
        <v>NÃO</v>
      </c>
      <c r="B143" s="7">
        <v>316</v>
      </c>
      <c r="C143" s="7" t="s">
        <v>162</v>
      </c>
      <c r="D143" s="7" t="s">
        <v>83</v>
      </c>
      <c r="E143" s="7" t="s">
        <v>91</v>
      </c>
      <c r="F143" s="15">
        <f>[2]!Tabela15[[#This Row],[Preço PIS/Cofins/ICMS]]*1.1</f>
        <v>242.23100000000002</v>
      </c>
      <c r="G143" s="10"/>
    </row>
    <row r="144" spans="1:7" ht="15" customHeight="1" x14ac:dyDescent="0.25">
      <c r="A144" t="str">
        <f>IFERROR(VLOOKUP(Tabela15[[#This Row],[Produto]],[1]Planilha1!$K$3:$N$300,4,0),"NÃO")</f>
        <v>NÃO</v>
      </c>
      <c r="B144" s="7">
        <v>320</v>
      </c>
      <c r="C144" s="7" t="s">
        <v>163</v>
      </c>
      <c r="D144" s="7" t="s">
        <v>164</v>
      </c>
      <c r="E144" s="7" t="s">
        <v>165</v>
      </c>
      <c r="F144" s="15">
        <f>[2]!Tabela15[[#This Row],[Preço PIS/Cofins/ICMS]]*1.1</f>
        <v>0.89100000000000013</v>
      </c>
      <c r="G144" s="10"/>
    </row>
    <row r="145" spans="1:7" ht="15" customHeight="1" x14ac:dyDescent="0.25">
      <c r="A145" t="str">
        <f>IFERROR(VLOOKUP(Tabela15[[#This Row],[Produto]],[1]Planilha1!$K$3:$N$300,4,0),"NÃO")</f>
        <v>NÃO</v>
      </c>
      <c r="B145" s="7">
        <v>321</v>
      </c>
      <c r="C145" s="7" t="s">
        <v>166</v>
      </c>
      <c r="D145" s="7" t="s">
        <v>164</v>
      </c>
      <c r="E145" s="7" t="s">
        <v>165</v>
      </c>
      <c r="F145" s="15">
        <f>[2]!Tabela15[[#This Row],[Preço PIS/Cofins/ICMS]]*1.1</f>
        <v>1.9470000000000003</v>
      </c>
      <c r="G145" s="10"/>
    </row>
    <row r="146" spans="1:7" ht="15" customHeight="1" x14ac:dyDescent="0.25">
      <c r="A146" t="str">
        <f>IFERROR(VLOOKUP(Tabela15[[#This Row],[Produto]],[1]Planilha1!$K$3:$N$300,4,0),"NÃO")</f>
        <v>NÃO</v>
      </c>
      <c r="B146" s="7">
        <v>323</v>
      </c>
      <c r="C146" s="7" t="s">
        <v>167</v>
      </c>
      <c r="D146" s="7" t="s">
        <v>164</v>
      </c>
      <c r="E146" s="7" t="s">
        <v>165</v>
      </c>
      <c r="F146" s="15">
        <f>[2]!Tabela15[[#This Row],[Preço PIS/Cofins/ICMS]]*1.1</f>
        <v>1.276</v>
      </c>
      <c r="G146" s="10"/>
    </row>
    <row r="147" spans="1:7" ht="15" customHeight="1" x14ac:dyDescent="0.25">
      <c r="A147" t="str">
        <f>IFERROR(VLOOKUP(Tabela15[[#This Row],[Produto]],[1]Planilha1!$K$3:$N$300,4,0),"NÃO")</f>
        <v>NÃO</v>
      </c>
      <c r="B147" s="7">
        <v>324</v>
      </c>
      <c r="C147" s="7" t="s">
        <v>168</v>
      </c>
      <c r="D147" s="7" t="s">
        <v>164</v>
      </c>
      <c r="E147" s="7" t="s">
        <v>165</v>
      </c>
      <c r="F147" s="15">
        <f>[2]!Tabela15[[#This Row],[Preço PIS/Cofins/ICMS]]*1.1</f>
        <v>2.6510000000000002</v>
      </c>
      <c r="G147" s="10"/>
    </row>
    <row r="148" spans="1:7" ht="15" customHeight="1" x14ac:dyDescent="0.25">
      <c r="A148" t="str">
        <f>IFERROR(VLOOKUP(Tabela15[[#This Row],[Produto]],[1]Planilha1!$K$3:$N$300,4,0),"NÃO")</f>
        <v>NÃO</v>
      </c>
      <c r="B148" s="12">
        <v>325</v>
      </c>
      <c r="C148" s="12" t="s">
        <v>169</v>
      </c>
      <c r="D148" s="12" t="s">
        <v>164</v>
      </c>
      <c r="E148" s="12" t="s">
        <v>165</v>
      </c>
      <c r="F148" s="14">
        <f>[2]!Tabela15[[#This Row],[Coluna1]]*1.07</f>
        <v>4.0232000000000001</v>
      </c>
      <c r="G148" s="10"/>
    </row>
    <row r="149" spans="1:7" ht="15" customHeight="1" x14ac:dyDescent="0.25">
      <c r="A149" t="str">
        <f>IFERROR(VLOOKUP(Tabela15[[#This Row],[Produto]],[1]Planilha1!$K$3:$N$300,4,0),"NÃO")</f>
        <v>NÃO</v>
      </c>
      <c r="B149" s="7">
        <v>326</v>
      </c>
      <c r="C149" s="7" t="s">
        <v>170</v>
      </c>
      <c r="D149" s="7" t="s">
        <v>83</v>
      </c>
      <c r="E149" s="7" t="s">
        <v>91</v>
      </c>
      <c r="F149" s="15">
        <f>[2]!Tabela15[[#This Row],[Preço PIS/Cofins/ICMS]]*1.1</f>
        <v>9.3280000000000012</v>
      </c>
      <c r="G149" s="10"/>
    </row>
    <row r="150" spans="1:7" ht="15" customHeight="1" x14ac:dyDescent="0.25">
      <c r="A150" t="str">
        <f>IFERROR(VLOOKUP(Tabela15[[#This Row],[Produto]],[1]Planilha1!$K$3:$N$300,4,0),"NÃO")</f>
        <v>NÃO</v>
      </c>
      <c r="B150" s="7">
        <v>327</v>
      </c>
      <c r="C150" s="7" t="s">
        <v>171</v>
      </c>
      <c r="D150" s="7" t="s">
        <v>83</v>
      </c>
      <c r="E150" s="7" t="s">
        <v>91</v>
      </c>
      <c r="F150" s="15">
        <f>[2]!Tabela15[[#This Row],[Preço PIS/Cofins/ICMS]]*1.1</f>
        <v>12.529000000000002</v>
      </c>
      <c r="G150" s="10"/>
    </row>
    <row r="151" spans="1:7" ht="15" customHeight="1" x14ac:dyDescent="0.25">
      <c r="A151" t="str">
        <f>IFERROR(VLOOKUP(Tabela15[[#This Row],[Produto]],[1]Planilha1!$K$3:$N$300,4,0),"NÃO")</f>
        <v>NÃO</v>
      </c>
      <c r="B151" s="7">
        <v>328</v>
      </c>
      <c r="C151" s="7" t="s">
        <v>172</v>
      </c>
      <c r="D151" s="7" t="s">
        <v>83</v>
      </c>
      <c r="E151" s="7" t="s">
        <v>91</v>
      </c>
      <c r="F151" s="15">
        <f>[2]!Tabela15[[#This Row],[Preço PIS/Cofins/ICMS]]*1.1</f>
        <v>10.659000000000001</v>
      </c>
      <c r="G151" s="10"/>
    </row>
    <row r="152" spans="1:7" ht="15" customHeight="1" x14ac:dyDescent="0.25">
      <c r="A152" t="str">
        <f>IFERROR(VLOOKUP(Tabela15[[#This Row],[Produto]],[1]Planilha1!$K$3:$N$300,4,0),"NÃO")</f>
        <v>NÃO</v>
      </c>
      <c r="B152" s="7">
        <v>329</v>
      </c>
      <c r="C152" s="7" t="s">
        <v>173</v>
      </c>
      <c r="D152" s="7" t="s">
        <v>83</v>
      </c>
      <c r="E152" s="7" t="s">
        <v>91</v>
      </c>
      <c r="F152" s="15">
        <f>[2]!Tabela15[[#This Row],[Preço PIS/Cofins/ICMS]]*1.1</f>
        <v>16.698</v>
      </c>
      <c r="G152" s="10"/>
    </row>
    <row r="153" spans="1:7" ht="15" customHeight="1" x14ac:dyDescent="0.25">
      <c r="A153" t="str">
        <f>IFERROR(VLOOKUP(Tabela15[[#This Row],[Produto]],[1]Planilha1!$K$3:$N$300,4,0),"NÃO")</f>
        <v>NÃO</v>
      </c>
      <c r="B153" s="12">
        <v>330</v>
      </c>
      <c r="C153" s="12" t="s">
        <v>174</v>
      </c>
      <c r="D153" s="12" t="s">
        <v>83</v>
      </c>
      <c r="E153" s="12" t="s">
        <v>175</v>
      </c>
      <c r="F153" s="14">
        <f>[2]!Tabela15[[#This Row],[Preço PIS/Cofins/ICMS]]*1.07</f>
        <v>0.51360000000000006</v>
      </c>
      <c r="G153" s="10"/>
    </row>
    <row r="154" spans="1:7" ht="15" customHeight="1" x14ac:dyDescent="0.25">
      <c r="A154" t="str">
        <f>IFERROR(VLOOKUP(Tabela15[[#This Row],[Produto]],[1]Planilha1!$K$3:$N$300,4,0),"NÃO")</f>
        <v>NÃO</v>
      </c>
      <c r="B154" s="12">
        <v>331</v>
      </c>
      <c r="C154" s="12" t="s">
        <v>176</v>
      </c>
      <c r="D154" s="12" t="s">
        <v>83</v>
      </c>
      <c r="E154" s="12" t="s">
        <v>175</v>
      </c>
      <c r="F154" s="14">
        <f>[2]!Tabela15[[#This Row],[Preço PIS/Cofins/ICMS]]*1.07</f>
        <v>0.34240000000000004</v>
      </c>
      <c r="G154" s="10"/>
    </row>
    <row r="155" spans="1:7" ht="15" customHeight="1" x14ac:dyDescent="0.25">
      <c r="A155" t="str">
        <f>IFERROR(VLOOKUP(Tabela15[[#This Row],[Produto]],[1]Planilha1!$K$3:$N$300,4,0),"NÃO")</f>
        <v>NÃO</v>
      </c>
      <c r="B155" s="12">
        <v>332</v>
      </c>
      <c r="C155" s="12" t="s">
        <v>177</v>
      </c>
      <c r="D155" s="12" t="s">
        <v>83</v>
      </c>
      <c r="E155" s="12" t="s">
        <v>175</v>
      </c>
      <c r="F155" s="14">
        <f>[2]!Tabela15[[#This Row],[Preço PIS/Cofins/ICMS]]*1.07</f>
        <v>1.0165</v>
      </c>
      <c r="G155" s="10"/>
    </row>
    <row r="156" spans="1:7" ht="15" customHeight="1" x14ac:dyDescent="0.25">
      <c r="A156" t="str">
        <f>IFERROR(VLOOKUP(Tabela15[[#This Row],[Produto]],[1]Planilha1!$K$3:$N$300,4,0),"NÃO")</f>
        <v>NÃO</v>
      </c>
      <c r="B156" s="12">
        <v>333</v>
      </c>
      <c r="C156" s="12" t="s">
        <v>178</v>
      </c>
      <c r="D156" s="12" t="s">
        <v>83</v>
      </c>
      <c r="E156" s="12" t="s">
        <v>175</v>
      </c>
      <c r="F156" s="14">
        <f>[2]!Tabela15[[#This Row],[Preço PIS/Cofins/ICMS]]*1.07</f>
        <v>2.3968000000000003</v>
      </c>
      <c r="G156" s="10"/>
    </row>
    <row r="157" spans="1:7" ht="15" customHeight="1" x14ac:dyDescent="0.25">
      <c r="A157" t="str">
        <f>IFERROR(VLOOKUP(Tabela15[[#This Row],[Produto]],[1]Planilha1!$K$3:$N$300,4,0),"NÃO")</f>
        <v>NÃO</v>
      </c>
      <c r="B157" s="12">
        <v>336</v>
      </c>
      <c r="C157" s="12" t="s">
        <v>179</v>
      </c>
      <c r="D157" s="12" t="s">
        <v>83</v>
      </c>
      <c r="E157" s="12" t="s">
        <v>175</v>
      </c>
      <c r="F157" s="14">
        <f>[2]!Tabela15[[#This Row],[Preço PIS/Cofins/ICMS]]*1.07</f>
        <v>2.1078999999999999</v>
      </c>
      <c r="G157" s="10"/>
    </row>
    <row r="158" spans="1:7" ht="15" customHeight="1" x14ac:dyDescent="0.25">
      <c r="A158" t="str">
        <f>IFERROR(VLOOKUP(Tabela15[[#This Row],[Produto]],[1]Planilha1!$K$3:$N$300,4,0),"NÃO")</f>
        <v>NÃO</v>
      </c>
      <c r="B158" s="12">
        <v>337</v>
      </c>
      <c r="C158" s="12" t="s">
        <v>180</v>
      </c>
      <c r="D158" s="12" t="s">
        <v>83</v>
      </c>
      <c r="E158" s="12" t="s">
        <v>175</v>
      </c>
      <c r="F158" s="14">
        <f>[2]!Tabela15[[#This Row],[Preço PIS/Cofins/ICMS]]*1.07</f>
        <v>7.49</v>
      </c>
      <c r="G158" s="10"/>
    </row>
    <row r="159" spans="1:7" ht="15" customHeight="1" x14ac:dyDescent="0.25">
      <c r="A159" t="str">
        <f>IFERROR(VLOOKUP(Tabela15[[#This Row],[Produto]],[1]Planilha1!$K$3:$N$300,4,0),"NÃO")</f>
        <v>NÃO</v>
      </c>
      <c r="B159" s="12">
        <v>338</v>
      </c>
      <c r="C159" s="12" t="s">
        <v>181</v>
      </c>
      <c r="D159" s="12" t="s">
        <v>83</v>
      </c>
      <c r="E159" s="12" t="s">
        <v>175</v>
      </c>
      <c r="F159" s="14">
        <f>[2]!Tabela15[[#This Row],[Preço PIS/Cofins/ICMS]]*1.07</f>
        <v>12.925600000000001</v>
      </c>
      <c r="G159" s="10"/>
    </row>
    <row r="160" spans="1:7" ht="15" customHeight="1" x14ac:dyDescent="0.25">
      <c r="A160" t="str">
        <f>IFERROR(VLOOKUP(Tabela15[[#This Row],[Produto]],[1]Planilha1!$K$3:$N$300,4,0),"NÃO")</f>
        <v>NÃO</v>
      </c>
      <c r="B160" s="12">
        <v>339</v>
      </c>
      <c r="C160" s="12" t="s">
        <v>182</v>
      </c>
      <c r="D160" s="12" t="s">
        <v>83</v>
      </c>
      <c r="E160" s="12" t="s">
        <v>175</v>
      </c>
      <c r="F160" s="14">
        <f>[2]!Tabela15[[#This Row],[Preço PIS/Cofins/ICMS]]*1.07</f>
        <v>11.9733</v>
      </c>
      <c r="G160" s="10"/>
    </row>
    <row r="161" spans="1:7" ht="15" customHeight="1" x14ac:dyDescent="0.25">
      <c r="A161" t="str">
        <f>IFERROR(VLOOKUP(Tabela15[[#This Row],[Produto]],[1]Planilha1!$K$3:$N$300,4,0),"NÃO")</f>
        <v>NÃO</v>
      </c>
      <c r="B161" s="12">
        <v>340</v>
      </c>
      <c r="C161" s="12" t="s">
        <v>183</v>
      </c>
      <c r="D161" s="12" t="s">
        <v>83</v>
      </c>
      <c r="E161" s="12" t="s">
        <v>175</v>
      </c>
      <c r="F161" s="14">
        <f>[2]!Tabela15[[#This Row],[Preço PIS/Cofins/ICMS]]*1.07</f>
        <v>23.229700000000001</v>
      </c>
      <c r="G161" s="10"/>
    </row>
    <row r="162" spans="1:7" ht="15" customHeight="1" x14ac:dyDescent="0.25">
      <c r="A162" t="str">
        <f>IFERROR(VLOOKUP(Tabela15[[#This Row],[Produto]],[1]Planilha1!$K$3:$N$300,4,0),"NÃO")</f>
        <v>NÃO</v>
      </c>
      <c r="B162" s="7">
        <v>341</v>
      </c>
      <c r="C162" s="7" t="s">
        <v>184</v>
      </c>
      <c r="D162" s="7" t="s">
        <v>83</v>
      </c>
      <c r="E162" s="7" t="s">
        <v>185</v>
      </c>
      <c r="F162" s="15">
        <f>[2]!Tabela15[[#This Row],[Preço PIS/Cofins/ICMS]]*1.1</f>
        <v>3.8940000000000006</v>
      </c>
      <c r="G162" s="10"/>
    </row>
    <row r="163" spans="1:7" ht="15" customHeight="1" x14ac:dyDescent="0.25">
      <c r="A163" t="str">
        <f>IFERROR(VLOOKUP(Tabela15[[#This Row],[Produto]],[1]Planilha1!$K$3:$N$300,4,0),"NÃO")</f>
        <v>NÃO</v>
      </c>
      <c r="B163" s="12">
        <v>342</v>
      </c>
      <c r="C163" s="12" t="s">
        <v>186</v>
      </c>
      <c r="D163" s="12" t="s">
        <v>83</v>
      </c>
      <c r="E163" s="12" t="s">
        <v>185</v>
      </c>
      <c r="F163" s="14">
        <f>[2]!Tabela15[[#This Row],[Preço PIS/Cofins/ICMS]]*1.07</f>
        <v>4.173</v>
      </c>
      <c r="G163" s="10"/>
    </row>
    <row r="164" spans="1:7" ht="15" customHeight="1" x14ac:dyDescent="0.25">
      <c r="A164" t="str">
        <f>IFERROR(VLOOKUP(Tabela15[[#This Row],[Produto]],[1]Planilha1!$K$3:$N$300,4,0),"NÃO")</f>
        <v>NÃO</v>
      </c>
      <c r="B164" s="12">
        <v>343</v>
      </c>
      <c r="C164" s="12" t="s">
        <v>187</v>
      </c>
      <c r="D164" s="12" t="s">
        <v>83</v>
      </c>
      <c r="E164" s="12" t="s">
        <v>185</v>
      </c>
      <c r="F164" s="14">
        <f>[2]!Tabela15[[#This Row],[Preço PIS/Cofins/ICMS]]*1.07</f>
        <v>5.8636000000000008</v>
      </c>
      <c r="G164" s="10"/>
    </row>
    <row r="165" spans="1:7" ht="15" customHeight="1" x14ac:dyDescent="0.25">
      <c r="A165" t="str">
        <f>IFERROR(VLOOKUP(Tabela15[[#This Row],[Produto]],[1]Planilha1!$K$3:$N$300,4,0),"NÃO")</f>
        <v>NÃO</v>
      </c>
      <c r="B165" s="12">
        <v>344</v>
      </c>
      <c r="C165" s="12" t="s">
        <v>188</v>
      </c>
      <c r="D165" s="12" t="s">
        <v>83</v>
      </c>
      <c r="E165" s="12" t="s">
        <v>185</v>
      </c>
      <c r="F165" s="14">
        <f>[2]!Tabela15[[#This Row],[Preço PIS/Cofins/ICMS]]*1.07</f>
        <v>9.2982999999999993</v>
      </c>
      <c r="G165" s="10"/>
    </row>
    <row r="166" spans="1:7" ht="15" customHeight="1" x14ac:dyDescent="0.25">
      <c r="A166" t="str">
        <f>IFERROR(VLOOKUP(Tabela15[[#This Row],[Produto]],[1]Planilha1!$K$3:$N$300,4,0),"NÃO")</f>
        <v>NÃO</v>
      </c>
      <c r="B166" s="12">
        <v>345</v>
      </c>
      <c r="C166" s="12" t="s">
        <v>189</v>
      </c>
      <c r="D166" s="12" t="s">
        <v>83</v>
      </c>
      <c r="E166" s="12" t="s">
        <v>185</v>
      </c>
      <c r="F166" s="14">
        <f>[2]!Tabela15[[#This Row],[Preço PIS/Cofins/ICMS]]*1.07</f>
        <v>9.6621000000000006</v>
      </c>
      <c r="G166" s="10"/>
    </row>
    <row r="167" spans="1:7" ht="15" customHeight="1" x14ac:dyDescent="0.25">
      <c r="A167" t="str">
        <f>IFERROR(VLOOKUP(Tabela15[[#This Row],[Produto]],[1]Planilha1!$K$3:$N$300,4,0),"NÃO")</f>
        <v>NÃO</v>
      </c>
      <c r="B167" s="12">
        <v>346</v>
      </c>
      <c r="C167" s="12" t="s">
        <v>190</v>
      </c>
      <c r="D167" s="12" t="s">
        <v>83</v>
      </c>
      <c r="E167" s="12" t="s">
        <v>185</v>
      </c>
      <c r="F167" s="14">
        <f>[2]!Tabela15[[#This Row],[Preço PIS/Cofins/ICMS]]*1.07</f>
        <v>16.435200000000002</v>
      </c>
      <c r="G167" s="10"/>
    </row>
    <row r="168" spans="1:7" ht="15" customHeight="1" x14ac:dyDescent="0.25">
      <c r="A168" t="str">
        <f>IFERROR(VLOOKUP(Tabela15[[#This Row],[Produto]],[1]Planilha1!$K$3:$N$300,4,0),"NÃO")</f>
        <v>NÃO</v>
      </c>
      <c r="B168" s="12">
        <v>347</v>
      </c>
      <c r="C168" s="12" t="s">
        <v>191</v>
      </c>
      <c r="D168" s="12" t="s">
        <v>83</v>
      </c>
      <c r="E168" s="12" t="s">
        <v>185</v>
      </c>
      <c r="F168" s="14">
        <f>[2]!Tabela15[[#This Row],[Preço PIS/Cofins/ICMS]]*1.07</f>
        <v>30.709</v>
      </c>
      <c r="G168" s="10"/>
    </row>
    <row r="169" spans="1:7" ht="15" customHeight="1" x14ac:dyDescent="0.25">
      <c r="A169" t="str">
        <f>IFERROR(VLOOKUP(Tabela15[[#This Row],[Produto]],[1]Planilha1!$K$3:$N$300,4,0),"NÃO")</f>
        <v>NÃO</v>
      </c>
      <c r="B169" s="12">
        <v>348</v>
      </c>
      <c r="C169" s="12" t="s">
        <v>192</v>
      </c>
      <c r="D169" s="12" t="s">
        <v>83</v>
      </c>
      <c r="E169" s="12" t="s">
        <v>185</v>
      </c>
      <c r="F169" s="14">
        <f>[2]!Tabela15[[#This Row],[Preço PIS/Cofins/ICMS]]*1.07</f>
        <v>95.700800000000001</v>
      </c>
      <c r="G169" s="10"/>
    </row>
    <row r="170" spans="1:7" ht="15" customHeight="1" x14ac:dyDescent="0.25">
      <c r="A170" t="str">
        <f>IFERROR(VLOOKUP(Tabela15[[#This Row],[Produto]],[1]Planilha1!$K$3:$N$300,4,0),"NÃO")</f>
        <v>NÃO</v>
      </c>
      <c r="B170" s="12">
        <v>349</v>
      </c>
      <c r="C170" s="12" t="s">
        <v>193</v>
      </c>
      <c r="D170" s="12" t="s">
        <v>83</v>
      </c>
      <c r="E170" s="12" t="s">
        <v>185</v>
      </c>
      <c r="F170" s="14">
        <f>[2]!Tabela15[[#This Row],[Preço PIS/Cofins/ICMS]]*1.07</f>
        <v>128.29300000000001</v>
      </c>
      <c r="G170" s="10"/>
    </row>
    <row r="171" spans="1:7" ht="15" customHeight="1" x14ac:dyDescent="0.25">
      <c r="A171" t="str">
        <f>IFERROR(VLOOKUP(Tabela15[[#This Row],[Produto]],[1]Planilha1!$K$3:$N$300,4,0),"NÃO")</f>
        <v>NÃO</v>
      </c>
      <c r="B171" s="12">
        <v>359</v>
      </c>
      <c r="C171" s="12" t="s">
        <v>194</v>
      </c>
      <c r="D171" s="12" t="s">
        <v>83</v>
      </c>
      <c r="E171" s="12" t="s">
        <v>175</v>
      </c>
      <c r="F171" s="14">
        <f>[2]!Tabela15[[#This Row],[Preço PIS/Cofins/ICMS]]*1.07</f>
        <v>41.130800000000001</v>
      </c>
      <c r="G171" s="10"/>
    </row>
    <row r="172" spans="1:7" ht="15" customHeight="1" x14ac:dyDescent="0.25">
      <c r="A172" t="str">
        <f>IFERROR(VLOOKUP(Tabela15[[#This Row],[Produto]],[1]Planilha1!$K$3:$N$300,4,0),"NÃO")</f>
        <v>NÃO</v>
      </c>
      <c r="B172" s="12">
        <v>360</v>
      </c>
      <c r="C172" s="12" t="s">
        <v>195</v>
      </c>
      <c r="D172" s="12" t="s">
        <v>83</v>
      </c>
      <c r="E172" s="12" t="s">
        <v>175</v>
      </c>
      <c r="F172" s="14">
        <f>[2]!Tabela15[[#This Row],[Preço PIS/Cofins/ICMS]]*1.07</f>
        <v>0.32100000000000001</v>
      </c>
      <c r="G172" s="10"/>
    </row>
    <row r="173" spans="1:7" ht="15" customHeight="1" x14ac:dyDescent="0.25">
      <c r="A173" t="str">
        <f>IFERROR(VLOOKUP(Tabela15[[#This Row],[Produto]],[1]Planilha1!$K$3:$N$300,4,0),"NÃO")</f>
        <v>NÃO</v>
      </c>
      <c r="B173" s="12">
        <v>361</v>
      </c>
      <c r="C173" s="12" t="s">
        <v>196</v>
      </c>
      <c r="D173" s="12" t="s">
        <v>83</v>
      </c>
      <c r="E173" s="12" t="s">
        <v>175</v>
      </c>
      <c r="F173" s="14">
        <f>[2]!Tabela15[[#This Row],[Preço PIS/Cofins/ICMS]]*1.07</f>
        <v>0.57780000000000009</v>
      </c>
      <c r="G173" s="10"/>
    </row>
    <row r="174" spans="1:7" ht="15" customHeight="1" x14ac:dyDescent="0.25">
      <c r="A174" t="str">
        <f>IFERROR(VLOOKUP(Tabela15[[#This Row],[Produto]],[1]Planilha1!$K$3:$N$300,4,0),"NÃO")</f>
        <v>NÃO</v>
      </c>
      <c r="B174" s="12">
        <v>362</v>
      </c>
      <c r="C174" s="12" t="s">
        <v>197</v>
      </c>
      <c r="D174" s="12" t="s">
        <v>83</v>
      </c>
      <c r="E174" s="12" t="s">
        <v>175</v>
      </c>
      <c r="F174" s="14">
        <f>[2]!Tabela15[[#This Row],[Preço PIS/Cofins/ICMS]]*1.07</f>
        <v>1.2198</v>
      </c>
      <c r="G174" s="10"/>
    </row>
    <row r="175" spans="1:7" ht="15" customHeight="1" x14ac:dyDescent="0.25">
      <c r="A175" t="str">
        <f>IFERROR(VLOOKUP(Tabela15[[#This Row],[Produto]],[1]Planilha1!$K$3:$N$300,4,0),"NÃO")</f>
        <v>NÃO</v>
      </c>
      <c r="B175" s="12">
        <v>363</v>
      </c>
      <c r="C175" s="12" t="s">
        <v>198</v>
      </c>
      <c r="D175" s="12" t="s">
        <v>83</v>
      </c>
      <c r="E175" s="12" t="s">
        <v>175</v>
      </c>
      <c r="F175" s="14">
        <f>[2]!Tabela15[[#This Row],[Preço PIS/Cofins/ICMS]]*1.07</f>
        <v>2.1078999999999999</v>
      </c>
      <c r="G175" s="10"/>
    </row>
    <row r="176" spans="1:7" ht="15" customHeight="1" x14ac:dyDescent="0.25">
      <c r="A176" t="str">
        <f>IFERROR(VLOOKUP(Tabela15[[#This Row],[Produto]],[1]Planilha1!$K$3:$N$300,4,0),"NÃO")</f>
        <v>NÃO</v>
      </c>
      <c r="B176" s="12">
        <v>364</v>
      </c>
      <c r="C176" s="12" t="s">
        <v>199</v>
      </c>
      <c r="D176" s="12" t="s">
        <v>83</v>
      </c>
      <c r="E176" s="12" t="s">
        <v>175</v>
      </c>
      <c r="F176" s="14">
        <f>[2]!Tabela15[[#This Row],[Preço PIS/Cofins/ICMS]]*1.07</f>
        <v>3.8627000000000002</v>
      </c>
      <c r="G176" s="10"/>
    </row>
    <row r="177" spans="1:7" ht="15" customHeight="1" x14ac:dyDescent="0.25">
      <c r="A177" t="str">
        <f>IFERROR(VLOOKUP(Tabela15[[#This Row],[Produto]],[1]Planilha1!$K$3:$N$300,4,0),"NÃO")</f>
        <v>NÃO</v>
      </c>
      <c r="B177" s="12">
        <v>365</v>
      </c>
      <c r="C177" s="12" t="s">
        <v>200</v>
      </c>
      <c r="D177" s="12" t="s">
        <v>83</v>
      </c>
      <c r="E177" s="12" t="s">
        <v>175</v>
      </c>
      <c r="F177" s="14">
        <f>[2]!Tabela15[[#This Row],[Preço PIS/Cofins/ICMS]]*1.07</f>
        <v>10.229200000000001</v>
      </c>
      <c r="G177" s="10"/>
    </row>
    <row r="178" spans="1:7" ht="15" customHeight="1" x14ac:dyDescent="0.25">
      <c r="A178" t="str">
        <f>IFERROR(VLOOKUP(Tabela15[[#This Row],[Produto]],[1]Planilha1!$K$3:$N$300,4,0),"NÃO")</f>
        <v>NÃO</v>
      </c>
      <c r="B178" s="12">
        <v>366</v>
      </c>
      <c r="C178" s="12" t="s">
        <v>201</v>
      </c>
      <c r="D178" s="12" t="s">
        <v>83</v>
      </c>
      <c r="E178" s="12" t="s">
        <v>175</v>
      </c>
      <c r="F178" s="14">
        <f>[2]!Tabela15[[#This Row],[Preço PIS/Cofins/ICMS]]*1.07</f>
        <v>8.9344999999999999</v>
      </c>
      <c r="G178" s="10"/>
    </row>
    <row r="179" spans="1:7" ht="15" customHeight="1" x14ac:dyDescent="0.25">
      <c r="A179" t="str">
        <f>IFERROR(VLOOKUP(Tabela15[[#This Row],[Produto]],[1]Planilha1!$K$3:$N$300,4,0),"NÃO")</f>
        <v>NÃO</v>
      </c>
      <c r="B179" s="7">
        <v>367</v>
      </c>
      <c r="C179" s="7" t="s">
        <v>202</v>
      </c>
      <c r="D179" s="7" t="s">
        <v>83</v>
      </c>
      <c r="E179" s="7" t="s">
        <v>175</v>
      </c>
      <c r="F179" s="15">
        <f>[2]!Tabela15[[#This Row],[Preço PIS/Cofins/ICMS]]*1.1</f>
        <v>1.6280000000000001</v>
      </c>
      <c r="G179" s="10"/>
    </row>
    <row r="180" spans="1:7" ht="15" customHeight="1" x14ac:dyDescent="0.25">
      <c r="A180" t="str">
        <f>IFERROR(VLOOKUP(Tabela15[[#This Row],[Produto]],[1]Planilha1!$K$3:$N$300,4,0),"NÃO")</f>
        <v>NÃO</v>
      </c>
      <c r="B180" s="7">
        <v>368</v>
      </c>
      <c r="C180" s="7" t="s">
        <v>203</v>
      </c>
      <c r="D180" s="7" t="s">
        <v>83</v>
      </c>
      <c r="E180" s="7" t="s">
        <v>175</v>
      </c>
      <c r="F180" s="15">
        <f>[2]!Tabela15[[#This Row],[Preço PIS/Cofins/ICMS]]*1.1</f>
        <v>2.3320000000000003</v>
      </c>
      <c r="G180" s="10"/>
    </row>
    <row r="181" spans="1:7" ht="15" customHeight="1" x14ac:dyDescent="0.25">
      <c r="A181" t="str">
        <f>IFERROR(VLOOKUP(Tabela15[[#This Row],[Produto]],[1]Planilha1!$K$3:$N$300,4,0),"NÃO")</f>
        <v>NÃO</v>
      </c>
      <c r="B181" s="12">
        <v>369</v>
      </c>
      <c r="C181" s="12" t="s">
        <v>204</v>
      </c>
      <c r="D181" s="12" t="s">
        <v>83</v>
      </c>
      <c r="E181" s="12" t="s">
        <v>175</v>
      </c>
      <c r="F181" s="14">
        <f>[2]!Tabela15[[#This Row],[Preço PIS/Cofins/ICMS]]*1.07</f>
        <v>2.2898000000000001</v>
      </c>
      <c r="G181" s="10"/>
    </row>
    <row r="182" spans="1:7" ht="15" customHeight="1" x14ac:dyDescent="0.25">
      <c r="A182" t="str">
        <f>IFERROR(VLOOKUP(Tabela15[[#This Row],[Produto]],[1]Planilha1!$K$3:$N$300,4,0),"NÃO")</f>
        <v>NÃO</v>
      </c>
      <c r="B182" s="7">
        <v>370</v>
      </c>
      <c r="C182" s="7" t="s">
        <v>205</v>
      </c>
      <c r="D182" s="7" t="s">
        <v>83</v>
      </c>
      <c r="E182" s="7" t="s">
        <v>175</v>
      </c>
      <c r="F182" s="15">
        <f>[2]!Tabela15[[#This Row],[Preço PIS/Cofins/ICMS]]*1.1</f>
        <v>2.75</v>
      </c>
      <c r="G182" s="10"/>
    </row>
    <row r="183" spans="1:7" ht="15" customHeight="1" x14ac:dyDescent="0.25">
      <c r="A183" t="str">
        <f>IFERROR(VLOOKUP(Tabela15[[#This Row],[Produto]],[1]Planilha1!$K$3:$N$300,4,0),"NÃO")</f>
        <v>NÃO</v>
      </c>
      <c r="B183" s="12">
        <v>371</v>
      </c>
      <c r="C183" s="12" t="s">
        <v>206</v>
      </c>
      <c r="D183" s="12" t="s">
        <v>83</v>
      </c>
      <c r="E183" s="12" t="s">
        <v>175</v>
      </c>
      <c r="F183" s="14">
        <v>1.8029999999999999</v>
      </c>
      <c r="G183" s="10"/>
    </row>
    <row r="184" spans="1:7" ht="15" customHeight="1" x14ac:dyDescent="0.25">
      <c r="A184" t="str">
        <f>IFERROR(VLOOKUP(Tabela15[[#This Row],[Produto]],[1]Planilha1!$K$3:$N$300,4,0),"NÃO")</f>
        <v>NÃO</v>
      </c>
      <c r="B184" s="12">
        <v>372</v>
      </c>
      <c r="C184" s="12" t="s">
        <v>207</v>
      </c>
      <c r="D184" s="12" t="s">
        <v>83</v>
      </c>
      <c r="E184" s="12" t="s">
        <v>175</v>
      </c>
      <c r="F184" s="14">
        <f>[2]!Tabela15[[#This Row],[Preço PIS/Cofins/ICMS]]*1.07</f>
        <v>3.2420999999999998</v>
      </c>
      <c r="G184" s="10"/>
    </row>
    <row r="185" spans="1:7" ht="15" customHeight="1" x14ac:dyDescent="0.25">
      <c r="A185" t="str">
        <f>IFERROR(VLOOKUP(Tabela15[[#This Row],[Produto]],[1]Planilha1!$K$3:$N$300,4,0),"NÃO")</f>
        <v>NÃO</v>
      </c>
      <c r="B185" s="12">
        <v>373</v>
      </c>
      <c r="C185" s="12" t="s">
        <v>208</v>
      </c>
      <c r="D185" s="12" t="s">
        <v>83</v>
      </c>
      <c r="E185" s="12" t="s">
        <v>175</v>
      </c>
      <c r="F185" s="14">
        <f>[2]!Tabela15[[#This Row],[Preço PIS/Cofins/ICMS]]*1.07</f>
        <v>5.6496000000000004</v>
      </c>
      <c r="G185" s="10"/>
    </row>
    <row r="186" spans="1:7" ht="15" customHeight="1" x14ac:dyDescent="0.25">
      <c r="A186" t="str">
        <f>IFERROR(VLOOKUP(Tabela15[[#This Row],[Produto]],[1]Planilha1!$K$3:$N$300,4,0),"NÃO")</f>
        <v>NÃO</v>
      </c>
      <c r="B186" s="12">
        <v>374</v>
      </c>
      <c r="C186" s="12" t="s">
        <v>209</v>
      </c>
      <c r="D186" s="12" t="s">
        <v>83</v>
      </c>
      <c r="E186" s="12" t="s">
        <v>175</v>
      </c>
      <c r="F186" s="14">
        <f>[2]!Tabela15[[#This Row],[Preço PIS/Cofins/ICMS]]*1.07</f>
        <v>7.0620000000000003</v>
      </c>
      <c r="G186" s="10"/>
    </row>
    <row r="187" spans="1:7" ht="15" customHeight="1" x14ac:dyDescent="0.25">
      <c r="A187" t="str">
        <f>IFERROR(VLOOKUP(Tabela15[[#This Row],[Produto]],[1]Planilha1!$K$3:$N$300,4,0),"NÃO")</f>
        <v>NÃO</v>
      </c>
      <c r="B187" s="12">
        <v>375</v>
      </c>
      <c r="C187" s="12" t="s">
        <v>210</v>
      </c>
      <c r="D187" s="12" t="s">
        <v>83</v>
      </c>
      <c r="E187" s="12" t="s">
        <v>175</v>
      </c>
      <c r="F187" s="14">
        <f>[2]!Tabela15[[#This Row],[Preço PIS/Cofins/ICMS]]*1.07</f>
        <v>8.1747999999999994</v>
      </c>
      <c r="G187" s="10"/>
    </row>
    <row r="188" spans="1:7" ht="15" customHeight="1" x14ac:dyDescent="0.25">
      <c r="A188" t="str">
        <f>IFERROR(VLOOKUP(Tabela15[[#This Row],[Produto]],[1]Planilha1!$K$3:$N$300,4,0),"NÃO")</f>
        <v>NÃO</v>
      </c>
      <c r="B188" s="7">
        <v>376</v>
      </c>
      <c r="C188" s="7" t="s">
        <v>211</v>
      </c>
      <c r="D188" s="7" t="s">
        <v>83</v>
      </c>
      <c r="E188" s="7" t="s">
        <v>175</v>
      </c>
      <c r="F188" s="15">
        <f>[2]!Tabela15[[#This Row],[Preço PIS/Cofins/ICMS]]*1.1</f>
        <v>9.4489999999999998</v>
      </c>
      <c r="G188" s="10"/>
    </row>
    <row r="189" spans="1:7" ht="15" customHeight="1" x14ac:dyDescent="0.25">
      <c r="A189" t="str">
        <f>IFERROR(VLOOKUP(Tabela15[[#This Row],[Produto]],[1]Planilha1!$K$3:$N$300,4,0),"NÃO")</f>
        <v>NÃO</v>
      </c>
      <c r="B189" s="12">
        <v>377</v>
      </c>
      <c r="C189" s="12" t="s">
        <v>212</v>
      </c>
      <c r="D189" s="12" t="s">
        <v>83</v>
      </c>
      <c r="E189" s="12" t="s">
        <v>175</v>
      </c>
      <c r="F189" s="14">
        <f>[2]!Tabela15[[#This Row],[Preço PIS/Cofins/ICMS]]*1.07</f>
        <v>10.5288</v>
      </c>
      <c r="G189" s="10"/>
    </row>
    <row r="190" spans="1:7" ht="15" customHeight="1" x14ac:dyDescent="0.25">
      <c r="A190" t="str">
        <f>IFERROR(VLOOKUP(Tabela15[[#This Row],[Produto]],[1]Planilha1!$K$3:$N$300,4,0),"NÃO")</f>
        <v>NÃO</v>
      </c>
      <c r="B190" s="12">
        <v>378</v>
      </c>
      <c r="C190" s="12" t="s">
        <v>213</v>
      </c>
      <c r="D190" s="12" t="s">
        <v>83</v>
      </c>
      <c r="E190" s="12" t="s">
        <v>175</v>
      </c>
      <c r="F190" s="14">
        <f>[2]!Tabela15[[#This Row],[Preço PIS/Cofins/ICMS]]*1.07</f>
        <v>12.551100000000002</v>
      </c>
      <c r="G190" s="10"/>
    </row>
    <row r="191" spans="1:7" ht="15" customHeight="1" x14ac:dyDescent="0.25">
      <c r="A191" t="str">
        <f>IFERROR(VLOOKUP(Tabela15[[#This Row],[Produto]],[1]Planilha1!$K$3:$N$300,4,0),"NÃO")</f>
        <v>NÃO</v>
      </c>
      <c r="B191" s="12">
        <v>379</v>
      </c>
      <c r="C191" s="12" t="s">
        <v>214</v>
      </c>
      <c r="D191" s="12" t="s">
        <v>83</v>
      </c>
      <c r="E191" s="12" t="s">
        <v>175</v>
      </c>
      <c r="F191" s="14">
        <f>[2]!Tabela15[[#This Row],[Preço PIS/Cofins/ICMS]]*1.07</f>
        <v>23.561400000000003</v>
      </c>
      <c r="G191" s="10"/>
    </row>
    <row r="192" spans="1:7" ht="15" customHeight="1" x14ac:dyDescent="0.25">
      <c r="A192" t="str">
        <f>IFERROR(VLOOKUP(Tabela15[[#This Row],[Produto]],[1]Planilha1!$K$3:$N$300,4,0),"NÃO")</f>
        <v>NÃO</v>
      </c>
      <c r="B192" s="12">
        <v>380</v>
      </c>
      <c r="C192" s="12" t="s">
        <v>215</v>
      </c>
      <c r="D192" s="12" t="s">
        <v>83</v>
      </c>
      <c r="E192" s="12" t="s">
        <v>175</v>
      </c>
      <c r="F192" s="14">
        <f>[2]!Tabela15[[#This Row],[Preço PIS/Cofins/ICMS]]*1.07</f>
        <v>22.641200000000001</v>
      </c>
      <c r="G192" s="10"/>
    </row>
    <row r="193" spans="1:7" ht="15" customHeight="1" x14ac:dyDescent="0.25">
      <c r="A193" t="str">
        <f>IFERROR(VLOOKUP(Tabela15[[#This Row],[Produto]],[1]Planilha1!$K$3:$N$300,4,0),"NÃO")</f>
        <v>NÃO</v>
      </c>
      <c r="B193" s="7">
        <v>382</v>
      </c>
      <c r="C193" s="7" t="s">
        <v>216</v>
      </c>
      <c r="D193" s="7" t="s">
        <v>83</v>
      </c>
      <c r="E193" s="7" t="s">
        <v>175</v>
      </c>
      <c r="F193" s="15">
        <f>[2]!Tabela15[[#This Row],[Preço PIS/Cofins/ICMS]]*1.1</f>
        <v>0.36300000000000004</v>
      </c>
      <c r="G193" s="10"/>
    </row>
    <row r="194" spans="1:7" ht="15" customHeight="1" x14ac:dyDescent="0.25">
      <c r="A194" t="str">
        <f>IFERROR(VLOOKUP(Tabela15[[#This Row],[Produto]],[1]Planilha1!$K$3:$N$300,4,0),"NÃO")</f>
        <v>NÃO</v>
      </c>
      <c r="B194" s="12">
        <v>383</v>
      </c>
      <c r="C194" s="12" t="s">
        <v>217</v>
      </c>
      <c r="D194" s="12" t="s">
        <v>83</v>
      </c>
      <c r="E194" s="12" t="s">
        <v>175</v>
      </c>
      <c r="F194" s="14">
        <f>[2]!Tabela15[[#This Row],[Preço PIS/Cofins/ICMS]]*1.07</f>
        <v>0.56710000000000005</v>
      </c>
      <c r="G194" s="10"/>
    </row>
    <row r="195" spans="1:7" ht="15" customHeight="1" x14ac:dyDescent="0.25">
      <c r="A195" t="str">
        <f>IFERROR(VLOOKUP(Tabela15[[#This Row],[Produto]],[1]Planilha1!$K$3:$N$300,4,0),"NÃO")</f>
        <v>NÃO</v>
      </c>
      <c r="B195" s="12">
        <v>384</v>
      </c>
      <c r="C195" s="12" t="s">
        <v>218</v>
      </c>
      <c r="D195" s="12" t="s">
        <v>83</v>
      </c>
      <c r="E195" s="12" t="s">
        <v>175</v>
      </c>
      <c r="F195" s="14">
        <f>[2]!Tabela15[[#This Row],[Preço PIS/Cofins/ICMS]]*1.07</f>
        <v>1.2198</v>
      </c>
      <c r="G195" s="10"/>
    </row>
    <row r="196" spans="1:7" ht="15" customHeight="1" x14ac:dyDescent="0.25">
      <c r="A196" t="str">
        <f>IFERROR(VLOOKUP(Tabela15[[#This Row],[Produto]],[1]Planilha1!$K$3:$N$300,4,0),"NÃO")</f>
        <v>NÃO</v>
      </c>
      <c r="B196" s="7">
        <v>385</v>
      </c>
      <c r="C196" s="7" t="s">
        <v>219</v>
      </c>
      <c r="D196" s="7" t="s">
        <v>83</v>
      </c>
      <c r="E196" s="7" t="s">
        <v>175</v>
      </c>
      <c r="F196" s="15">
        <f>[2]!Tabela15[[#This Row],[Preço PIS/Cofins/ICMS]]*1.1</f>
        <v>2.5190000000000001</v>
      </c>
      <c r="G196" s="10"/>
    </row>
    <row r="197" spans="1:7" ht="15" customHeight="1" x14ac:dyDescent="0.25">
      <c r="A197" t="str">
        <f>IFERROR(VLOOKUP(Tabela15[[#This Row],[Produto]],[1]Planilha1!$K$3:$N$300,4,0),"NÃO")</f>
        <v>NÃO</v>
      </c>
      <c r="B197" s="12">
        <v>386</v>
      </c>
      <c r="C197" s="12" t="s">
        <v>220</v>
      </c>
      <c r="D197" s="12" t="s">
        <v>83</v>
      </c>
      <c r="E197" s="12" t="s">
        <v>175</v>
      </c>
      <c r="F197" s="14">
        <f>[2]!Tabela15[[#This Row],[Preço PIS/Cofins/ICMS]]*1.07</f>
        <v>2.6536</v>
      </c>
      <c r="G197" s="10"/>
    </row>
    <row r="198" spans="1:7" ht="15" customHeight="1" x14ac:dyDescent="0.25">
      <c r="A198" t="str">
        <f>IFERROR(VLOOKUP(Tabela15[[#This Row],[Produto]],[1]Planilha1!$K$3:$N$300,4,0),"NÃO")</f>
        <v>NÃO</v>
      </c>
      <c r="B198" s="12">
        <v>387</v>
      </c>
      <c r="C198" s="12" t="s">
        <v>221</v>
      </c>
      <c r="D198" s="12" t="s">
        <v>83</v>
      </c>
      <c r="E198" s="12" t="s">
        <v>175</v>
      </c>
      <c r="F198" s="14">
        <f>[2]!Tabela15[[#This Row],[Preço PIS/Cofins/ICMS]]*1.07</f>
        <v>6.9229000000000003</v>
      </c>
      <c r="G198" s="10"/>
    </row>
    <row r="199" spans="1:7" ht="15" customHeight="1" x14ac:dyDescent="0.25">
      <c r="A199" t="str">
        <f>IFERROR(VLOOKUP(Tabela15[[#This Row],[Produto]],[1]Planilha1!$K$3:$N$300,4,0),"NÃO")</f>
        <v>NÃO</v>
      </c>
      <c r="B199" s="7">
        <v>388</v>
      </c>
      <c r="C199" s="7" t="s">
        <v>222</v>
      </c>
      <c r="D199" s="7" t="s">
        <v>83</v>
      </c>
      <c r="E199" s="7" t="s">
        <v>175</v>
      </c>
      <c r="F199" s="15">
        <f>[2]!Tabela15[[#This Row],[Preço PIS/Cofins/ICMS]]*1.1</f>
        <v>13.101000000000001</v>
      </c>
      <c r="G199" s="10"/>
    </row>
    <row r="200" spans="1:7" ht="15" customHeight="1" x14ac:dyDescent="0.25">
      <c r="A200" t="str">
        <f>IFERROR(VLOOKUP(Tabela15[[#This Row],[Produto]],[1]Planilha1!$K$3:$N$300,4,0),"NÃO")</f>
        <v>NÃO</v>
      </c>
      <c r="B200" s="12">
        <v>389</v>
      </c>
      <c r="C200" s="12" t="s">
        <v>223</v>
      </c>
      <c r="D200" s="12" t="s">
        <v>83</v>
      </c>
      <c r="E200" s="12" t="s">
        <v>175</v>
      </c>
      <c r="F200" s="14">
        <f>[2]!Tabela15[[#This Row],[Preço PIS/Cofins/ICMS]]*1.07</f>
        <v>25.744199999999999</v>
      </c>
      <c r="G200" s="10"/>
    </row>
    <row r="201" spans="1:7" ht="15" customHeight="1" x14ac:dyDescent="0.25">
      <c r="A201" t="str">
        <f>IFERROR(VLOOKUP(Tabela15[[#This Row],[Produto]],[1]Planilha1!$K$3:$N$300,4,0),"NÃO")</f>
        <v>NÃO</v>
      </c>
      <c r="B201" s="12">
        <v>390</v>
      </c>
      <c r="C201" s="12" t="s">
        <v>224</v>
      </c>
      <c r="D201" s="12" t="s">
        <v>83</v>
      </c>
      <c r="E201" s="12" t="s">
        <v>175</v>
      </c>
      <c r="F201" s="14">
        <f>[2]!Tabela15[[#This Row],[Preço PIS/Cofins/ICMS]]*1.07</f>
        <v>49.198599999999999</v>
      </c>
      <c r="G201" s="10"/>
    </row>
    <row r="202" spans="1:7" ht="15" customHeight="1" x14ac:dyDescent="0.25">
      <c r="A202" t="str">
        <f>IFERROR(VLOOKUP(Tabela15[[#This Row],[Produto]],[1]Planilha1!$K$3:$N$300,4,0),"NÃO")</f>
        <v>NÃO</v>
      </c>
      <c r="B202" s="7">
        <v>393</v>
      </c>
      <c r="C202" s="7" t="s">
        <v>225</v>
      </c>
      <c r="D202" s="7" t="s">
        <v>83</v>
      </c>
      <c r="E202" s="7" t="s">
        <v>226</v>
      </c>
      <c r="F202" s="15">
        <f>[2]!Tabela15[[#This Row],[Preço PIS/Cofins/ICMS]]*1.1</f>
        <v>2.2000000000000002</v>
      </c>
      <c r="G202" s="10"/>
    </row>
    <row r="203" spans="1:7" ht="15" customHeight="1" x14ac:dyDescent="0.25">
      <c r="A203" t="str">
        <f>IFERROR(VLOOKUP(Tabela15[[#This Row],[Produto]],[1]Planilha1!$K$3:$N$300,4,0),"NÃO")</f>
        <v>NÃO</v>
      </c>
      <c r="B203" s="7">
        <v>394</v>
      </c>
      <c r="C203" s="7" t="s">
        <v>227</v>
      </c>
      <c r="D203" s="7" t="s">
        <v>83</v>
      </c>
      <c r="E203" s="7" t="s">
        <v>175</v>
      </c>
      <c r="F203" s="15">
        <f>[2]!Tabela15[[#This Row],[Preço PIS/Cofins/ICMS]]*1.1</f>
        <v>2.387</v>
      </c>
      <c r="G203" s="10"/>
    </row>
    <row r="204" spans="1:7" ht="15" customHeight="1" x14ac:dyDescent="0.25">
      <c r="A204" t="str">
        <f>IFERROR(VLOOKUP(Tabela15[[#This Row],[Produto]],[1]Planilha1!$K$3:$N$300,4,0),"NÃO")</f>
        <v>NÃO</v>
      </c>
      <c r="B204" s="7">
        <v>395</v>
      </c>
      <c r="C204" s="7" t="s">
        <v>228</v>
      </c>
      <c r="D204" s="7" t="s">
        <v>83</v>
      </c>
      <c r="E204" s="7" t="s">
        <v>226</v>
      </c>
      <c r="F204" s="15">
        <f>[2]!Tabela15[[#This Row],[Preço PIS/Cofins/ICMS]]*1.1</f>
        <v>3.355</v>
      </c>
      <c r="G204" s="10"/>
    </row>
    <row r="205" spans="1:7" ht="15" customHeight="1" x14ac:dyDescent="0.25">
      <c r="A205" t="str">
        <f>IFERROR(VLOOKUP(Tabela15[[#This Row],[Produto]],[1]Planilha1!$K$3:$N$300,4,0),"NÃO")</f>
        <v>NÃO</v>
      </c>
      <c r="B205" s="7">
        <v>396</v>
      </c>
      <c r="C205" s="7" t="s">
        <v>229</v>
      </c>
      <c r="D205" s="7" t="s">
        <v>83</v>
      </c>
      <c r="E205" s="7" t="s">
        <v>226</v>
      </c>
      <c r="F205" s="15">
        <f>[2]!Tabela15[[#This Row],[Preço PIS/Cofins/ICMS]]*1.1</f>
        <v>4.0480000000000009</v>
      </c>
      <c r="G205" s="10"/>
    </row>
    <row r="206" spans="1:7" ht="15" customHeight="1" x14ac:dyDescent="0.25">
      <c r="A206" t="str">
        <f>IFERROR(VLOOKUP(Tabela15[[#This Row],[Produto]],[1]Planilha1!$K$3:$N$300,4,0),"NÃO")</f>
        <v>NÃO</v>
      </c>
      <c r="B206" s="7">
        <v>397</v>
      </c>
      <c r="C206" s="7" t="s">
        <v>230</v>
      </c>
      <c r="D206" s="7" t="s">
        <v>83</v>
      </c>
      <c r="E206" s="7" t="s">
        <v>226</v>
      </c>
      <c r="F206" s="15">
        <f>[2]!Tabela15[[#This Row],[Preço PIS/Cofins/ICMS]]*1.1</f>
        <v>6.721000000000001</v>
      </c>
      <c r="G206" s="10"/>
    </row>
    <row r="207" spans="1:7" ht="15" customHeight="1" x14ac:dyDescent="0.25">
      <c r="A207" t="str">
        <f>IFERROR(VLOOKUP(Tabela15[[#This Row],[Produto]],[1]Planilha1!$K$3:$N$300,4,0),"NÃO")</f>
        <v>NÃO</v>
      </c>
      <c r="B207" s="7">
        <v>398</v>
      </c>
      <c r="C207" s="7" t="s">
        <v>231</v>
      </c>
      <c r="D207" s="7" t="s">
        <v>83</v>
      </c>
      <c r="E207" s="7" t="s">
        <v>226</v>
      </c>
      <c r="F207" s="15">
        <f>[2]!Tabela15[[#This Row],[Preço PIS/Cofins/ICMS]]*1.1</f>
        <v>11.264000000000001</v>
      </c>
      <c r="G207" s="10"/>
    </row>
    <row r="208" spans="1:7" ht="15" customHeight="1" x14ac:dyDescent="0.25">
      <c r="A208" t="str">
        <f>IFERROR(VLOOKUP(Tabela15[[#This Row],[Produto]],[1]Planilha1!$K$3:$N$300,4,0),"NÃO")</f>
        <v>NÃO</v>
      </c>
      <c r="B208" s="7">
        <v>399</v>
      </c>
      <c r="C208" s="7" t="s">
        <v>232</v>
      </c>
      <c r="D208" s="7" t="s">
        <v>83</v>
      </c>
      <c r="E208" s="7" t="s">
        <v>226</v>
      </c>
      <c r="F208" s="15">
        <f>[2]!Tabela15[[#This Row],[Preço PIS/Cofins/ICMS]]*1.1</f>
        <v>23.496000000000002</v>
      </c>
      <c r="G208" s="10"/>
    </row>
    <row r="209" spans="1:7" ht="15" customHeight="1" x14ac:dyDescent="0.25">
      <c r="A209" t="str">
        <f>IFERROR(VLOOKUP(Tabela15[[#This Row],[Produto]],[1]Planilha1!$K$3:$N$300,4,0),"NÃO")</f>
        <v>NÃO</v>
      </c>
      <c r="B209" s="7">
        <v>400</v>
      </c>
      <c r="C209" s="7" t="s">
        <v>233</v>
      </c>
      <c r="D209" s="7" t="s">
        <v>83</v>
      </c>
      <c r="E209" s="7" t="s">
        <v>226</v>
      </c>
      <c r="F209" s="15">
        <f>[2]!Tabela15[[#This Row],[Preço PIS/Cofins/ICMS]]*1.1</f>
        <v>27.94</v>
      </c>
      <c r="G209" s="10"/>
    </row>
    <row r="210" spans="1:7" ht="15" customHeight="1" x14ac:dyDescent="0.25">
      <c r="A210" t="str">
        <f>IFERROR(VLOOKUP(Tabela15[[#This Row],[Produto]],[1]Planilha1!$K$3:$N$300,4,0),"NÃO")</f>
        <v>NÃO</v>
      </c>
      <c r="B210" s="7">
        <v>401</v>
      </c>
      <c r="C210" s="7" t="s">
        <v>234</v>
      </c>
      <c r="D210" s="7" t="s">
        <v>83</v>
      </c>
      <c r="E210" s="7" t="s">
        <v>226</v>
      </c>
      <c r="F210" s="15">
        <f>[2]!Tabela15[[#This Row],[Preço PIS/Cofins/ICMS]]*1.1</f>
        <v>69.762</v>
      </c>
      <c r="G210" s="10"/>
    </row>
    <row r="211" spans="1:7" ht="15" customHeight="1" x14ac:dyDescent="0.25">
      <c r="A211" t="str">
        <f>IFERROR(VLOOKUP(Tabela15[[#This Row],[Produto]],[1]Planilha1!$K$3:$N$300,4,0),"NÃO")</f>
        <v>NÃO</v>
      </c>
      <c r="B211" s="7">
        <v>402</v>
      </c>
      <c r="C211" s="7" t="s">
        <v>235</v>
      </c>
      <c r="D211" s="7" t="s">
        <v>83</v>
      </c>
      <c r="E211" s="7" t="s">
        <v>226</v>
      </c>
      <c r="F211" s="15">
        <f>[2]!Tabela15[[#This Row],[Preço PIS/Cofins/ICMS]]*1.1</f>
        <v>3.355</v>
      </c>
      <c r="G211" s="10"/>
    </row>
    <row r="212" spans="1:7" ht="15" customHeight="1" x14ac:dyDescent="0.25">
      <c r="A212" t="str">
        <f>IFERROR(VLOOKUP(Tabela15[[#This Row],[Produto]],[1]Planilha1!$K$3:$N$300,4,0),"NÃO")</f>
        <v>NÃO</v>
      </c>
      <c r="B212" s="7">
        <v>403</v>
      </c>
      <c r="C212" s="7" t="s">
        <v>236</v>
      </c>
      <c r="D212" s="7" t="s">
        <v>83</v>
      </c>
      <c r="E212" s="7" t="s">
        <v>226</v>
      </c>
      <c r="F212" s="15">
        <f>[2]!Tabela15[[#This Row],[Preço PIS/Cofins/ICMS]]*1.1</f>
        <v>3.7070000000000003</v>
      </c>
      <c r="G212" s="10"/>
    </row>
    <row r="213" spans="1:7" ht="15" customHeight="1" x14ac:dyDescent="0.25">
      <c r="A213" t="str">
        <f>IFERROR(VLOOKUP(Tabela15[[#This Row],[Produto]],[1]Planilha1!$K$3:$N$300,4,0),"NÃO")</f>
        <v>NÃO</v>
      </c>
      <c r="B213" s="7">
        <v>404</v>
      </c>
      <c r="C213" s="7" t="s">
        <v>237</v>
      </c>
      <c r="D213" s="7" t="s">
        <v>83</v>
      </c>
      <c r="E213" s="7" t="s">
        <v>226</v>
      </c>
      <c r="F213" s="15">
        <f>[2]!Tabela15[[#This Row],[Preço PIS/Cofins/ICMS]]*1.1</f>
        <v>9.4270000000000014</v>
      </c>
      <c r="G213" s="10"/>
    </row>
    <row r="214" spans="1:7" ht="15" customHeight="1" x14ac:dyDescent="0.25">
      <c r="A214" t="str">
        <f>IFERROR(VLOOKUP(Tabela15[[#This Row],[Produto]],[1]Planilha1!$K$3:$N$300,4,0),"NÃO")</f>
        <v>NÃO</v>
      </c>
      <c r="B214" s="7">
        <v>406</v>
      </c>
      <c r="C214" s="7" t="s">
        <v>238</v>
      </c>
      <c r="D214" s="7" t="s">
        <v>83</v>
      </c>
      <c r="E214" s="7" t="s">
        <v>175</v>
      </c>
      <c r="F214" s="15">
        <f>[2]!Tabela15[[#This Row],[Preço PIS/Cofins/ICMS]]*1.1</f>
        <v>1.4630000000000003</v>
      </c>
      <c r="G214" s="10"/>
    </row>
    <row r="215" spans="1:7" ht="15" customHeight="1" x14ac:dyDescent="0.25">
      <c r="A215" t="str">
        <f>IFERROR(VLOOKUP(Tabela15[[#This Row],[Produto]],[1]Planilha1!$K$3:$N$300,4,0),"NÃO")</f>
        <v>NÃO</v>
      </c>
      <c r="B215" s="7">
        <v>407</v>
      </c>
      <c r="C215" s="7" t="s">
        <v>239</v>
      </c>
      <c r="D215" s="7" t="s">
        <v>83</v>
      </c>
      <c r="E215" s="7" t="s">
        <v>175</v>
      </c>
      <c r="F215" s="15">
        <f>[2]!Tabela15[[#This Row],[Preço PIS/Cofins/ICMS]]*1.1</f>
        <v>1.5840000000000001</v>
      </c>
      <c r="G215" s="10"/>
    </row>
    <row r="216" spans="1:7" ht="15" customHeight="1" x14ac:dyDescent="0.25">
      <c r="A216" t="str">
        <f>IFERROR(VLOOKUP(Tabela15[[#This Row],[Produto]],[1]Planilha1!$K$3:$N$300,4,0),"NÃO")</f>
        <v>NÃO</v>
      </c>
      <c r="B216" s="7">
        <v>408</v>
      </c>
      <c r="C216" s="7" t="s">
        <v>240</v>
      </c>
      <c r="D216" s="7" t="s">
        <v>83</v>
      </c>
      <c r="E216" s="7" t="s">
        <v>175</v>
      </c>
      <c r="F216" s="15">
        <f>[2]!Tabela15[[#This Row],[Preço PIS/Cofins/ICMS]]*1.1</f>
        <v>3.3109999999999999</v>
      </c>
      <c r="G216" s="10"/>
    </row>
    <row r="217" spans="1:7" ht="15" customHeight="1" x14ac:dyDescent="0.25">
      <c r="A217" t="str">
        <f>IFERROR(VLOOKUP(Tabela15[[#This Row],[Produto]],[1]Planilha1!$K$3:$N$300,4,0),"NÃO")</f>
        <v>NÃO</v>
      </c>
      <c r="B217" s="7">
        <v>409</v>
      </c>
      <c r="C217" s="7" t="s">
        <v>241</v>
      </c>
      <c r="D217" s="7" t="s">
        <v>83</v>
      </c>
      <c r="E217" s="7" t="s">
        <v>175</v>
      </c>
      <c r="F217" s="15">
        <f>[2]!Tabela15[[#This Row],[Preço PIS/Cofins/ICMS]]*1.1</f>
        <v>7.6890000000000009</v>
      </c>
      <c r="G217" s="10"/>
    </row>
    <row r="218" spans="1:7" ht="15" customHeight="1" x14ac:dyDescent="0.25">
      <c r="A218" t="str">
        <f>IFERROR(VLOOKUP(Tabela15[[#This Row],[Produto]],[1]Planilha1!$K$3:$N$300,4,0),"NÃO")</f>
        <v>NÃO</v>
      </c>
      <c r="B218" s="7">
        <v>410</v>
      </c>
      <c r="C218" s="7" t="s">
        <v>242</v>
      </c>
      <c r="D218" s="7" t="s">
        <v>83</v>
      </c>
      <c r="E218" s="7" t="s">
        <v>175</v>
      </c>
      <c r="F218" s="15">
        <f>[2]!Tabela15[[#This Row],[Preço PIS/Cofins/ICMS]]*1.1</f>
        <v>6.7870000000000008</v>
      </c>
      <c r="G218" s="10"/>
    </row>
    <row r="219" spans="1:7" ht="15" customHeight="1" x14ac:dyDescent="0.25">
      <c r="A219" t="str">
        <f>IFERROR(VLOOKUP(Tabela15[[#This Row],[Produto]],[1]Planilha1!$K$3:$N$300,4,0),"NÃO")</f>
        <v>NÃO</v>
      </c>
      <c r="B219" s="12">
        <v>411</v>
      </c>
      <c r="C219" s="12" t="s">
        <v>243</v>
      </c>
      <c r="D219" s="12" t="s">
        <v>83</v>
      </c>
      <c r="E219" s="12" t="s">
        <v>175</v>
      </c>
      <c r="F219" s="14">
        <f>[2]!Tabela15[[#This Row],[Preço PIS/Cofins/ICMS]]*1.07</f>
        <v>20.019700000000004</v>
      </c>
      <c r="G219" s="10"/>
    </row>
    <row r="220" spans="1:7" ht="15" customHeight="1" x14ac:dyDescent="0.25">
      <c r="A220" t="str">
        <f>IFERROR(VLOOKUP(Tabela15[[#This Row],[Produto]],[1]Planilha1!$K$3:$N$300,4,0),"NÃO")</f>
        <v>NÃO</v>
      </c>
      <c r="B220" s="7">
        <v>412</v>
      </c>
      <c r="C220" s="7" t="s">
        <v>244</v>
      </c>
      <c r="D220" s="7" t="s">
        <v>83</v>
      </c>
      <c r="E220" s="7" t="s">
        <v>226</v>
      </c>
      <c r="F220" s="15">
        <f>[2]!Tabela15[[#This Row],[Preço PIS/Cofins/ICMS]]*1.1</f>
        <v>33.22</v>
      </c>
      <c r="G220" s="10"/>
    </row>
    <row r="221" spans="1:7" ht="15" customHeight="1" x14ac:dyDescent="0.25">
      <c r="A221" t="str">
        <f>IFERROR(VLOOKUP(Tabela15[[#This Row],[Produto]],[1]Planilha1!$K$3:$N$300,4,0),"NÃO")</f>
        <v>NÃO</v>
      </c>
      <c r="B221" s="7">
        <v>413</v>
      </c>
      <c r="C221" s="7" t="s">
        <v>245</v>
      </c>
      <c r="D221" s="7" t="s">
        <v>83</v>
      </c>
      <c r="E221" s="7" t="s">
        <v>226</v>
      </c>
      <c r="F221" s="15">
        <f>[2]!Tabela15[[#This Row],[Preço PIS/Cofins/ICMS]]*1.1</f>
        <v>39.369</v>
      </c>
      <c r="G221" s="10"/>
    </row>
    <row r="222" spans="1:7" ht="15" customHeight="1" x14ac:dyDescent="0.25">
      <c r="A222" t="str">
        <f>IFERROR(VLOOKUP(Tabela15[[#This Row],[Produto]],[1]Planilha1!$K$3:$N$300,4,0),"NÃO")</f>
        <v>NÃO</v>
      </c>
      <c r="B222" s="12">
        <v>414</v>
      </c>
      <c r="C222" s="12" t="s">
        <v>246</v>
      </c>
      <c r="D222" s="12" t="s">
        <v>83</v>
      </c>
      <c r="E222" s="12" t="s">
        <v>226</v>
      </c>
      <c r="F222" s="14">
        <f>[2]!Tabela15[[#This Row],[Preço PIS/Cofins/ICMS]]*1.07</f>
        <v>104.77440000000001</v>
      </c>
      <c r="G222" s="10"/>
    </row>
    <row r="223" spans="1:7" ht="15" customHeight="1" x14ac:dyDescent="0.25">
      <c r="A223" t="str">
        <f>IFERROR(VLOOKUP(Tabela15[[#This Row],[Produto]],[1]Planilha1!$K$3:$N$300,4,0),"NÃO")</f>
        <v>NÃO</v>
      </c>
      <c r="B223" s="7">
        <v>415</v>
      </c>
      <c r="C223" s="7" t="s">
        <v>247</v>
      </c>
      <c r="D223" s="7" t="s">
        <v>83</v>
      </c>
      <c r="E223" s="7" t="s">
        <v>175</v>
      </c>
      <c r="F223" s="15">
        <f>[2]!Tabela15[[#This Row],[Preço PIS/Cofins/ICMS]]*1.1</f>
        <v>0.72600000000000009</v>
      </c>
      <c r="G223" s="10"/>
    </row>
    <row r="224" spans="1:7" ht="15" customHeight="1" x14ac:dyDescent="0.25">
      <c r="A224" t="str">
        <f>IFERROR(VLOOKUP(Tabela15[[#This Row],[Produto]],[1]Planilha1!$K$3:$N$300,4,0),"NÃO")</f>
        <v>NÃO</v>
      </c>
      <c r="B224" s="12">
        <v>416</v>
      </c>
      <c r="C224" s="12" t="s">
        <v>248</v>
      </c>
      <c r="D224" s="12" t="s">
        <v>83</v>
      </c>
      <c r="E224" s="12" t="s">
        <v>175</v>
      </c>
      <c r="F224" s="14">
        <v>0.94399999999999995</v>
      </c>
      <c r="G224" s="10"/>
    </row>
    <row r="225" spans="1:7" ht="15" customHeight="1" x14ac:dyDescent="0.25">
      <c r="A225" t="str">
        <f>IFERROR(VLOOKUP(Tabela15[[#This Row],[Produto]],[1]Planilha1!$K$3:$N$300,4,0),"NÃO")</f>
        <v>NÃO</v>
      </c>
      <c r="B225" s="12">
        <v>417</v>
      </c>
      <c r="C225" s="12" t="s">
        <v>249</v>
      </c>
      <c r="D225" s="12" t="s">
        <v>83</v>
      </c>
      <c r="E225" s="12" t="s">
        <v>175</v>
      </c>
      <c r="F225" s="14">
        <f>[2]!Tabela15[[#This Row],[Preço PIS/Cofins/ICMS]]*1.07</f>
        <v>2.5038</v>
      </c>
      <c r="G225" s="10"/>
    </row>
    <row r="226" spans="1:7" ht="15" customHeight="1" x14ac:dyDescent="0.25">
      <c r="A226" t="str">
        <f>IFERROR(VLOOKUP(Tabela15[[#This Row],[Produto]],[1]Planilha1!$K$3:$N$300,4,0),"NÃO")</f>
        <v>NÃO</v>
      </c>
      <c r="B226" s="12">
        <v>418</v>
      </c>
      <c r="C226" s="12" t="s">
        <v>250</v>
      </c>
      <c r="D226" s="12" t="s">
        <v>83</v>
      </c>
      <c r="E226" s="12" t="s">
        <v>175</v>
      </c>
      <c r="F226" s="14">
        <f>[2]!Tabela15[[#This Row],[Preço PIS/Cofins/ICMS]]*1.07</f>
        <v>3.6166</v>
      </c>
      <c r="G226" s="10"/>
    </row>
    <row r="227" spans="1:7" ht="15" customHeight="1" x14ac:dyDescent="0.25">
      <c r="A227" t="str">
        <f>IFERROR(VLOOKUP(Tabela15[[#This Row],[Produto]],[1]Planilha1!$K$3:$N$300,4,0),"NÃO")</f>
        <v>NÃO</v>
      </c>
      <c r="B227" s="12">
        <v>419</v>
      </c>
      <c r="C227" s="12" t="s">
        <v>251</v>
      </c>
      <c r="D227" s="12" t="s">
        <v>83</v>
      </c>
      <c r="E227" s="12" t="s">
        <v>175</v>
      </c>
      <c r="F227" s="14">
        <f>[2]!Tabela15[[#This Row],[Preço PIS/Cofins/ICMS]]*1.07</f>
        <v>3.5310000000000001</v>
      </c>
      <c r="G227" s="10"/>
    </row>
    <row r="228" spans="1:7" ht="15" customHeight="1" x14ac:dyDescent="0.25">
      <c r="A228" t="str">
        <f>IFERROR(VLOOKUP(Tabela15[[#This Row],[Produto]],[1]Planilha1!$K$3:$N$300,4,0),"NÃO")</f>
        <v>NÃO</v>
      </c>
      <c r="B228" s="12">
        <v>420</v>
      </c>
      <c r="C228" s="12" t="s">
        <v>252</v>
      </c>
      <c r="D228" s="12" t="s">
        <v>83</v>
      </c>
      <c r="E228" s="12" t="s">
        <v>175</v>
      </c>
      <c r="F228" s="14">
        <f>[2]!Tabela15[[#This Row],[Preço PIS/Cofins/ICMS]]*1.07</f>
        <v>17.933200000000003</v>
      </c>
      <c r="G228" s="10"/>
    </row>
    <row r="229" spans="1:7" ht="15" customHeight="1" x14ac:dyDescent="0.25">
      <c r="A229" t="str">
        <f>IFERROR(VLOOKUP(Tabela15[[#This Row],[Produto]],[1]Planilha1!$K$3:$N$300,4,0),"NÃO")</f>
        <v>NÃO</v>
      </c>
      <c r="B229" s="12">
        <v>421</v>
      </c>
      <c r="C229" s="12" t="s">
        <v>253</v>
      </c>
      <c r="D229" s="12" t="s">
        <v>83</v>
      </c>
      <c r="E229" s="12" t="s">
        <v>175</v>
      </c>
      <c r="F229" s="14">
        <f>[2]!Tabela15[[#This Row],[Preço PIS/Cofins/ICMS]]*1.07</f>
        <v>39.996600000000008</v>
      </c>
      <c r="G229" s="10"/>
    </row>
    <row r="230" spans="1:7" ht="15" customHeight="1" x14ac:dyDescent="0.25">
      <c r="A230" t="str">
        <f>IFERROR(VLOOKUP(Tabela15[[#This Row],[Produto]],[1]Planilha1!$K$3:$N$300,4,0),"NÃO")</f>
        <v>NÃO</v>
      </c>
      <c r="B230" s="12">
        <v>422</v>
      </c>
      <c r="C230" s="12" t="s">
        <v>254</v>
      </c>
      <c r="D230" s="12" t="s">
        <v>83</v>
      </c>
      <c r="E230" s="12" t="s">
        <v>175</v>
      </c>
      <c r="F230" s="14">
        <f>[2]!Tabela15[[#This Row],[Preço PIS/Cofins/ICMS]]*1.07</f>
        <v>44.319400000000002</v>
      </c>
      <c r="G230" s="10"/>
    </row>
    <row r="231" spans="1:7" ht="15" customHeight="1" x14ac:dyDescent="0.25">
      <c r="A231" t="str">
        <f>IFERROR(VLOOKUP(Tabela15[[#This Row],[Produto]],[1]Planilha1!$K$3:$N$300,4,0),"NÃO")</f>
        <v>NÃO</v>
      </c>
      <c r="B231" s="12">
        <v>423</v>
      </c>
      <c r="C231" s="12" t="s">
        <v>255</v>
      </c>
      <c r="D231" s="12" t="s">
        <v>83</v>
      </c>
      <c r="E231" s="12" t="s">
        <v>175</v>
      </c>
      <c r="F231" s="14">
        <f>[2]!Tabela15[[#This Row],[Coluna1]]*1.07</f>
        <v>126.45260000000002</v>
      </c>
      <c r="G231" s="10"/>
    </row>
    <row r="232" spans="1:7" ht="15" customHeight="1" x14ac:dyDescent="0.25">
      <c r="A232" t="str">
        <f>IFERROR(VLOOKUP(Tabela15[[#This Row],[Produto]],[1]Planilha1!$K$3:$N$300,4,0),"NÃO")</f>
        <v>NÃO</v>
      </c>
      <c r="B232" s="12">
        <v>424</v>
      </c>
      <c r="C232" s="12" t="s">
        <v>256</v>
      </c>
      <c r="D232" s="12" t="s">
        <v>83</v>
      </c>
      <c r="E232" s="12" t="s">
        <v>175</v>
      </c>
      <c r="F232" s="14">
        <f>[2]!Tabela15[[#This Row],[Preço PIS/Cofins/ICMS]]*1.07</f>
        <v>0.28890000000000005</v>
      </c>
      <c r="G232" s="10"/>
    </row>
    <row r="233" spans="1:7" ht="15" customHeight="1" x14ac:dyDescent="0.25">
      <c r="A233" t="str">
        <f>IFERROR(VLOOKUP(Tabela15[[#This Row],[Produto]],[1]Planilha1!$K$3:$N$300,4,0),"NÃO")</f>
        <v>NÃO</v>
      </c>
      <c r="B233" s="12">
        <v>425</v>
      </c>
      <c r="C233" s="12" t="s">
        <v>257</v>
      </c>
      <c r="D233" s="12" t="s">
        <v>83</v>
      </c>
      <c r="E233" s="12" t="s">
        <v>175</v>
      </c>
      <c r="F233" s="14">
        <v>0.33900000000000002</v>
      </c>
      <c r="G233" s="10"/>
    </row>
    <row r="234" spans="1:7" ht="15" customHeight="1" x14ac:dyDescent="0.25">
      <c r="A234" t="str">
        <f>IFERROR(VLOOKUP(Tabela15[[#This Row],[Produto]],[1]Planilha1!$K$3:$N$300,4,0),"NÃO")</f>
        <v>NÃO</v>
      </c>
      <c r="B234" s="12">
        <v>426</v>
      </c>
      <c r="C234" s="12" t="s">
        <v>258</v>
      </c>
      <c r="D234" s="12" t="s">
        <v>83</v>
      </c>
      <c r="E234" s="12" t="s">
        <v>175</v>
      </c>
      <c r="F234" s="14">
        <f>[2]!Tabela15[[#This Row],[Preço PIS/Cofins/ICMS]]*1.07</f>
        <v>1.2733000000000001</v>
      </c>
      <c r="G234" s="10"/>
    </row>
    <row r="235" spans="1:7" ht="15" customHeight="1" x14ac:dyDescent="0.25">
      <c r="A235" t="str">
        <f>IFERROR(VLOOKUP(Tabela15[[#This Row],[Produto]],[1]Planilha1!$K$3:$N$300,4,0),"NÃO")</f>
        <v>NÃO</v>
      </c>
      <c r="B235" s="12">
        <v>427</v>
      </c>
      <c r="C235" s="12" t="s">
        <v>259</v>
      </c>
      <c r="D235" s="12" t="s">
        <v>83</v>
      </c>
      <c r="E235" s="12" t="s">
        <v>175</v>
      </c>
      <c r="F235" s="14">
        <v>2.7250000000000001</v>
      </c>
      <c r="G235" s="10"/>
    </row>
    <row r="236" spans="1:7" ht="15" customHeight="1" x14ac:dyDescent="0.25">
      <c r="A236" t="str">
        <f>IFERROR(VLOOKUP(Tabela15[[#This Row],[Produto]],[1]Planilha1!$K$3:$N$300,4,0),"NÃO")</f>
        <v>NÃO</v>
      </c>
      <c r="B236" s="12">
        <v>428</v>
      </c>
      <c r="C236" s="12" t="s">
        <v>260</v>
      </c>
      <c r="D236" s="12" t="s">
        <v>83</v>
      </c>
      <c r="E236" s="12" t="s">
        <v>175</v>
      </c>
      <c r="F236" s="14">
        <f>[2]!Tabela15[[#This Row],[Preço PIS/Cofins/ICMS]]*1.07</f>
        <v>2.0116000000000001</v>
      </c>
      <c r="G236" s="10"/>
    </row>
    <row r="237" spans="1:7" ht="15" customHeight="1" x14ac:dyDescent="0.25">
      <c r="A237" t="str">
        <f>IFERROR(VLOOKUP(Tabela15[[#This Row],[Produto]],[1]Planilha1!$K$3:$N$300,4,0),"NÃO")</f>
        <v>NÃO</v>
      </c>
      <c r="B237" s="12">
        <v>429</v>
      </c>
      <c r="C237" s="12" t="s">
        <v>261</v>
      </c>
      <c r="D237" s="12" t="s">
        <v>83</v>
      </c>
      <c r="E237" s="12" t="s">
        <v>175</v>
      </c>
      <c r="F237" s="14">
        <f>[2]!Tabela15[[#This Row],[Preço PIS/Cofins/ICMS]]*1.07</f>
        <v>9.0200999999999993</v>
      </c>
      <c r="G237" s="10"/>
    </row>
    <row r="238" spans="1:7" ht="15" customHeight="1" x14ac:dyDescent="0.25">
      <c r="A238" t="str">
        <f>IFERROR(VLOOKUP(Tabela15[[#This Row],[Produto]],[1]Planilha1!$K$3:$N$300,4,0),"NÃO")</f>
        <v>NÃO</v>
      </c>
      <c r="B238" s="12">
        <v>430</v>
      </c>
      <c r="C238" s="12" t="s">
        <v>262</v>
      </c>
      <c r="D238" s="12" t="s">
        <v>83</v>
      </c>
      <c r="E238" s="12" t="s">
        <v>175</v>
      </c>
      <c r="F238" s="14">
        <f>[2]!Tabela15[[#This Row],[Coluna1]]*1.07</f>
        <v>42.714400000000005</v>
      </c>
      <c r="G238" s="10"/>
    </row>
    <row r="239" spans="1:7" ht="15" customHeight="1" x14ac:dyDescent="0.25">
      <c r="A239" t="str">
        <f>IFERROR(VLOOKUP(Tabela15[[#This Row],[Produto]],[1]Planilha1!$K$3:$N$300,4,0),"NÃO")</f>
        <v>NÃO</v>
      </c>
      <c r="B239" s="12">
        <v>431</v>
      </c>
      <c r="C239" s="12" t="s">
        <v>263</v>
      </c>
      <c r="D239" s="12" t="s">
        <v>83</v>
      </c>
      <c r="E239" s="12" t="s">
        <v>175</v>
      </c>
      <c r="F239" s="14">
        <f>[2]!Tabela15[[#This Row],[Coluna1]]*1.07</f>
        <v>47.903900000000007</v>
      </c>
      <c r="G239" s="10"/>
    </row>
    <row r="240" spans="1:7" ht="15" customHeight="1" x14ac:dyDescent="0.25">
      <c r="A240" t="str">
        <f>IFERROR(VLOOKUP(Tabela15[[#This Row],[Produto]],[1]Planilha1!$K$3:$N$300,4,0),"NÃO")</f>
        <v>NÃO</v>
      </c>
      <c r="B240" s="12">
        <v>432</v>
      </c>
      <c r="C240" s="12" t="s">
        <v>264</v>
      </c>
      <c r="D240" s="12" t="s">
        <v>83</v>
      </c>
      <c r="E240" s="12" t="s">
        <v>175</v>
      </c>
      <c r="F240" s="14">
        <f>[2]!Tabela15[[#This Row],[Coluna1]]*1.07</f>
        <v>111.4191</v>
      </c>
      <c r="G240" s="10"/>
    </row>
    <row r="241" spans="1:7" ht="15" customHeight="1" x14ac:dyDescent="0.25">
      <c r="A241" t="str">
        <f>IFERROR(VLOOKUP(Tabela15[[#This Row],[Produto]],[1]Planilha1!$K$3:$N$300,4,0),"NÃO")</f>
        <v>NÃO</v>
      </c>
      <c r="B241" s="7">
        <v>433</v>
      </c>
      <c r="C241" s="7" t="s">
        <v>265</v>
      </c>
      <c r="D241" s="7" t="s">
        <v>83</v>
      </c>
      <c r="E241" s="7" t="s">
        <v>175</v>
      </c>
      <c r="F241" s="15">
        <f>[2]!Tabela15[[#This Row],[Preço PIS/Cofins/ICMS]]*1.1</f>
        <v>1.7050000000000003</v>
      </c>
      <c r="G241" s="10"/>
    </row>
    <row r="242" spans="1:7" ht="15" customHeight="1" x14ac:dyDescent="0.25">
      <c r="A242" t="str">
        <f>IFERROR(VLOOKUP(Tabela15[[#This Row],[Produto]],[1]Planilha1!$K$3:$N$300,4,0),"NÃO")</f>
        <v>NÃO</v>
      </c>
      <c r="B242" s="7">
        <v>434</v>
      </c>
      <c r="C242" s="7" t="s">
        <v>266</v>
      </c>
      <c r="D242" s="7" t="s">
        <v>83</v>
      </c>
      <c r="E242" s="7" t="s">
        <v>175</v>
      </c>
      <c r="F242" s="15">
        <f>[2]!Tabela15[[#This Row],[Preço PIS/Cofins/ICMS]]*1.1</f>
        <v>3.08</v>
      </c>
      <c r="G242" s="10"/>
    </row>
    <row r="243" spans="1:7" ht="15" customHeight="1" x14ac:dyDescent="0.25">
      <c r="A243" t="str">
        <f>IFERROR(VLOOKUP(Tabela15[[#This Row],[Produto]],[1]Planilha1!$K$3:$N$300,4,0),"NÃO")</f>
        <v>NÃO</v>
      </c>
      <c r="B243" s="12">
        <v>435</v>
      </c>
      <c r="C243" s="12" t="s">
        <v>267</v>
      </c>
      <c r="D243" s="12" t="s">
        <v>83</v>
      </c>
      <c r="E243" s="12" t="s">
        <v>175</v>
      </c>
      <c r="F243" s="14">
        <f>[2]!Tabela15[[#This Row],[Preço PIS/Cofins/ICMS]]*1.07</f>
        <v>0.28890000000000005</v>
      </c>
      <c r="G243" s="10"/>
    </row>
    <row r="244" spans="1:7" ht="15" customHeight="1" x14ac:dyDescent="0.25">
      <c r="A244" t="str">
        <f>IFERROR(VLOOKUP(Tabela15[[#This Row],[Produto]],[1]Planilha1!$K$3:$N$300,4,0),"NÃO")</f>
        <v>NÃO</v>
      </c>
      <c r="B244" s="12">
        <v>436</v>
      </c>
      <c r="C244" s="12" t="s">
        <v>268</v>
      </c>
      <c r="D244" s="12" t="s">
        <v>83</v>
      </c>
      <c r="E244" s="12" t="s">
        <v>175</v>
      </c>
      <c r="F244" s="14">
        <f>[2]!Tabela15[[#This Row],[Preço PIS/Cofins/ICMS]]*1.07</f>
        <v>0.34240000000000004</v>
      </c>
      <c r="G244" s="10"/>
    </row>
    <row r="245" spans="1:7" ht="15" customHeight="1" x14ac:dyDescent="0.25">
      <c r="A245" t="str">
        <f>IFERROR(VLOOKUP(Tabela15[[#This Row],[Produto]],[1]Planilha1!$K$3:$N$300,4,0),"NÃO")</f>
        <v>NÃO</v>
      </c>
      <c r="B245" s="12">
        <v>437</v>
      </c>
      <c r="C245" s="12" t="s">
        <v>269</v>
      </c>
      <c r="D245" s="12" t="s">
        <v>83</v>
      </c>
      <c r="E245" s="12" t="s">
        <v>175</v>
      </c>
      <c r="F245" s="14">
        <f>[2]!Tabela15[[#This Row],[Preço PIS/Cofins/ICMS]]*1.07</f>
        <v>1.1663000000000001</v>
      </c>
      <c r="G245" s="10"/>
    </row>
    <row r="246" spans="1:7" ht="15" customHeight="1" x14ac:dyDescent="0.25">
      <c r="A246" t="str">
        <f>IFERROR(VLOOKUP(Tabela15[[#This Row],[Produto]],[1]Planilha1!$K$3:$N$300,4,0),"NÃO")</f>
        <v>NÃO</v>
      </c>
      <c r="B246" s="12">
        <v>438</v>
      </c>
      <c r="C246" s="12" t="s">
        <v>270</v>
      </c>
      <c r="D246" s="12" t="s">
        <v>83</v>
      </c>
      <c r="E246" s="12" t="s">
        <v>175</v>
      </c>
      <c r="F246" s="14">
        <f>[2]!Tabela15[[#This Row],[Preço PIS/Cofins/ICMS]]*1.07</f>
        <v>2.5893999999999999</v>
      </c>
      <c r="G246" s="10"/>
    </row>
    <row r="247" spans="1:7" ht="15" customHeight="1" x14ac:dyDescent="0.25">
      <c r="A247" t="str">
        <f>IFERROR(VLOOKUP(Tabela15[[#This Row],[Produto]],[1]Planilha1!$K$3:$N$300,4,0),"NÃO")</f>
        <v>NÃO</v>
      </c>
      <c r="B247" s="12">
        <v>439</v>
      </c>
      <c r="C247" s="12" t="s">
        <v>271</v>
      </c>
      <c r="D247" s="12" t="s">
        <v>83</v>
      </c>
      <c r="E247" s="12" t="s">
        <v>175</v>
      </c>
      <c r="F247" s="14">
        <f>[2]!Tabela15[[#This Row],[Preço PIS/Cofins/ICMS]]*1.07</f>
        <v>1.8939000000000001</v>
      </c>
      <c r="G247" s="10"/>
    </row>
    <row r="248" spans="1:7" ht="15" customHeight="1" x14ac:dyDescent="0.25">
      <c r="A248" t="str">
        <f>IFERROR(VLOOKUP(Tabela15[[#This Row],[Produto]],[1]Planilha1!$K$3:$N$300,4,0),"NÃO")</f>
        <v>NÃO</v>
      </c>
      <c r="B248" s="12">
        <v>440</v>
      </c>
      <c r="C248" s="12" t="s">
        <v>272</v>
      </c>
      <c r="D248" s="12" t="s">
        <v>83</v>
      </c>
      <c r="E248" s="12" t="s">
        <v>175</v>
      </c>
      <c r="F248" s="14">
        <f>[2]!Tabela15[[#This Row],[Preço PIS/Cofins/ICMS]]*1.07</f>
        <v>7.9608000000000008</v>
      </c>
      <c r="G248" s="10"/>
    </row>
    <row r="249" spans="1:7" ht="15" customHeight="1" x14ac:dyDescent="0.25">
      <c r="A249" t="str">
        <f>IFERROR(VLOOKUP(Tabela15[[#This Row],[Produto]],[1]Planilha1!$K$3:$N$300,4,0),"NÃO")</f>
        <v>NÃO</v>
      </c>
      <c r="B249" s="12">
        <v>441</v>
      </c>
      <c r="C249" s="12" t="s">
        <v>273</v>
      </c>
      <c r="D249" s="12" t="s">
        <v>83</v>
      </c>
      <c r="E249" s="12" t="s">
        <v>175</v>
      </c>
      <c r="F249" s="14">
        <f>[2]!Tabela15[[#This Row],[Preço PIS/Cofins/ICMS]]*1.07</f>
        <v>11.7165</v>
      </c>
      <c r="G249" s="10"/>
    </row>
    <row r="250" spans="1:7" ht="15" customHeight="1" x14ac:dyDescent="0.25">
      <c r="A250" t="str">
        <f>IFERROR(VLOOKUP(Tabela15[[#This Row],[Produto]],[1]Planilha1!$K$3:$N$300,4,0),"NÃO")</f>
        <v>NÃO</v>
      </c>
      <c r="B250" s="12">
        <v>442</v>
      </c>
      <c r="C250" s="12" t="s">
        <v>274</v>
      </c>
      <c r="D250" s="12" t="s">
        <v>83</v>
      </c>
      <c r="E250" s="12" t="s">
        <v>175</v>
      </c>
      <c r="F250" s="14">
        <f>[2]!Tabela15[[#This Row],[Preço PIS/Cofins/ICMS]]*1.07</f>
        <v>26.685800000000004</v>
      </c>
      <c r="G250" s="10"/>
    </row>
    <row r="251" spans="1:7" ht="15" customHeight="1" x14ac:dyDescent="0.25">
      <c r="A251" t="str">
        <f>IFERROR(VLOOKUP(Tabela15[[#This Row],[Produto]],[1]Planilha1!$K$3:$N$300,4,0),"NÃO")</f>
        <v>NÃO</v>
      </c>
      <c r="B251" s="12">
        <v>443</v>
      </c>
      <c r="C251" s="12" t="s">
        <v>275</v>
      </c>
      <c r="D251" s="12" t="s">
        <v>83</v>
      </c>
      <c r="E251" s="12" t="s">
        <v>175</v>
      </c>
      <c r="F251" s="14">
        <f>[2]!Tabela15[[#This Row],[Preço PIS/Cofins/ICMS]]*1.07</f>
        <v>45.346600000000002</v>
      </c>
      <c r="G251" s="10"/>
    </row>
    <row r="252" spans="1:7" ht="15" customHeight="1" x14ac:dyDescent="0.25">
      <c r="A252" t="str">
        <f>IFERROR(VLOOKUP(Tabela15[[#This Row],[Produto]],[1]Planilha1!$K$3:$N$300,4,0),"NÃO")</f>
        <v>NÃO</v>
      </c>
      <c r="B252" s="7">
        <v>444</v>
      </c>
      <c r="C252" s="7" t="s">
        <v>276</v>
      </c>
      <c r="D252" s="7" t="s">
        <v>83</v>
      </c>
      <c r="E252" s="7" t="s">
        <v>175</v>
      </c>
      <c r="F252" s="15">
        <f>[2]!Tabela15[[#This Row],[Preço PIS/Cofins/ICMS]]*1.1</f>
        <v>3.5310000000000001</v>
      </c>
      <c r="G252" s="10"/>
    </row>
    <row r="253" spans="1:7" ht="15" customHeight="1" x14ac:dyDescent="0.25">
      <c r="A253" t="str">
        <f>IFERROR(VLOOKUP(Tabela15[[#This Row],[Produto]],[1]Planilha1!$K$3:$N$300,4,0),"NÃO")</f>
        <v>NÃO</v>
      </c>
      <c r="B253" s="7">
        <v>445</v>
      </c>
      <c r="C253" s="7" t="s">
        <v>277</v>
      </c>
      <c r="D253" s="7" t="s">
        <v>83</v>
      </c>
      <c r="E253" s="7" t="s">
        <v>175</v>
      </c>
      <c r="F253" s="15">
        <f>[2]!Tabela15[[#This Row],[Preço PIS/Cofins/ICMS]]*1.1</f>
        <v>4.620000000000001</v>
      </c>
      <c r="G253" s="10"/>
    </row>
    <row r="254" spans="1:7" ht="15" customHeight="1" x14ac:dyDescent="0.25">
      <c r="A254" t="str">
        <f>IFERROR(VLOOKUP(Tabela15[[#This Row],[Produto]],[1]Planilha1!$K$3:$N$300,4,0),"NÃO")</f>
        <v>NÃO</v>
      </c>
      <c r="B254" s="7">
        <v>446</v>
      </c>
      <c r="C254" s="7" t="s">
        <v>278</v>
      </c>
      <c r="D254" s="7" t="s">
        <v>83</v>
      </c>
      <c r="E254" s="7" t="s">
        <v>175</v>
      </c>
      <c r="F254" s="15">
        <f>[2]!Tabela15[[#This Row],[Preço PIS/Cofins/ICMS]]*1.1</f>
        <v>14.245000000000001</v>
      </c>
      <c r="G254" s="10"/>
    </row>
    <row r="255" spans="1:7" ht="15" customHeight="1" x14ac:dyDescent="0.25">
      <c r="A255" t="str">
        <f>IFERROR(VLOOKUP(Tabela15[[#This Row],[Produto]],[1]Planilha1!$K$3:$N$300,4,0),"NÃO")</f>
        <v>NÃO</v>
      </c>
      <c r="B255" s="7">
        <v>447</v>
      </c>
      <c r="C255" s="7" t="s">
        <v>279</v>
      </c>
      <c r="D255" s="7" t="s">
        <v>83</v>
      </c>
      <c r="E255" s="7" t="s">
        <v>175</v>
      </c>
      <c r="F255" s="15">
        <f>[2]!Tabela15[[#This Row],[Preço PIS/Cofins/ICMS]]*1.1</f>
        <v>18.292999999999999</v>
      </c>
      <c r="G255" s="10"/>
    </row>
    <row r="256" spans="1:7" ht="15" customHeight="1" x14ac:dyDescent="0.25">
      <c r="A256" t="str">
        <f>IFERROR(VLOOKUP(Tabela15[[#This Row],[Produto]],[1]Planilha1!$K$3:$N$300,4,0),"NÃO")</f>
        <v>NÃO</v>
      </c>
      <c r="B256" s="7">
        <v>448</v>
      </c>
      <c r="C256" s="7" t="s">
        <v>280</v>
      </c>
      <c r="D256" s="7" t="s">
        <v>83</v>
      </c>
      <c r="E256" s="7" t="s">
        <v>175</v>
      </c>
      <c r="F256" s="15">
        <v>14.679</v>
      </c>
      <c r="G256" s="10"/>
    </row>
    <row r="257" spans="1:7" ht="15" customHeight="1" x14ac:dyDescent="0.25">
      <c r="A257" t="str">
        <f>IFERROR(VLOOKUP(Tabela15[[#This Row],[Produto]],[1]Planilha1!$K$3:$N$300,4,0),"NÃO")</f>
        <v>NÃO</v>
      </c>
      <c r="B257" s="7">
        <v>449</v>
      </c>
      <c r="C257" s="7" t="s">
        <v>281</v>
      </c>
      <c r="D257" s="7" t="s">
        <v>83</v>
      </c>
      <c r="E257" s="7" t="s">
        <v>175</v>
      </c>
      <c r="F257" s="15">
        <f>[2]!Tabela15[[#This Row],[Preço PIS/Cofins/ICMS]]*1.1</f>
        <v>24.222000000000001</v>
      </c>
      <c r="G257" s="10"/>
    </row>
    <row r="258" spans="1:7" ht="15" customHeight="1" x14ac:dyDescent="0.25">
      <c r="A258" t="str">
        <f>IFERROR(VLOOKUP(Tabela15[[#This Row],[Produto]],[1]Planilha1!$K$3:$N$300,4,0),"NÃO")</f>
        <v>NÃO</v>
      </c>
      <c r="B258" s="7">
        <v>450</v>
      </c>
      <c r="C258" s="7" t="s">
        <v>282</v>
      </c>
      <c r="D258" s="7" t="s">
        <v>83</v>
      </c>
      <c r="E258" s="7" t="s">
        <v>175</v>
      </c>
      <c r="F258" s="15">
        <f>[2]!Tabela15[[#This Row],[Preço PIS/Cofins/ICMS]]*1.1</f>
        <v>0.88000000000000012</v>
      </c>
      <c r="G258" s="10"/>
    </row>
    <row r="259" spans="1:7" ht="15" customHeight="1" x14ac:dyDescent="0.25">
      <c r="A259" t="str">
        <f>IFERROR(VLOOKUP(Tabela15[[#This Row],[Produto]],[1]Planilha1!$K$3:$N$300,4,0),"NÃO")</f>
        <v>NÃO</v>
      </c>
      <c r="B259" s="7">
        <v>451</v>
      </c>
      <c r="C259" s="7" t="s">
        <v>283</v>
      </c>
      <c r="D259" s="7" t="s">
        <v>83</v>
      </c>
      <c r="E259" s="7" t="s">
        <v>175</v>
      </c>
      <c r="F259" s="15">
        <f>[2]!Tabela15[[#This Row],[Preço PIS/Cofins/ICMS]]*1.1</f>
        <v>2.0130000000000003</v>
      </c>
      <c r="G259" s="10"/>
    </row>
    <row r="260" spans="1:7" ht="15" customHeight="1" x14ac:dyDescent="0.25">
      <c r="A260" t="str">
        <f>IFERROR(VLOOKUP(Tabela15[[#This Row],[Produto]],[1]Planilha1!$K$3:$N$300,4,0),"NÃO")</f>
        <v>NÃO</v>
      </c>
      <c r="B260" s="7">
        <v>452</v>
      </c>
      <c r="C260" s="7" t="s">
        <v>284</v>
      </c>
      <c r="D260" s="7" t="s">
        <v>83</v>
      </c>
      <c r="E260" s="7" t="s">
        <v>175</v>
      </c>
      <c r="F260" s="15">
        <f>[2]!Tabela15[[#This Row],[Preço PIS/Cofins/ICMS]]*1.1</f>
        <v>3.355</v>
      </c>
      <c r="G260" s="10"/>
    </row>
    <row r="261" spans="1:7" ht="15" customHeight="1" x14ac:dyDescent="0.25">
      <c r="A261" t="str">
        <f>IFERROR(VLOOKUP(Tabela15[[#This Row],[Produto]],[1]Planilha1!$K$3:$N$300,4,0),"NÃO")</f>
        <v>NÃO</v>
      </c>
      <c r="B261" s="7">
        <v>453</v>
      </c>
      <c r="C261" s="7" t="s">
        <v>285</v>
      </c>
      <c r="D261" s="7" t="s">
        <v>83</v>
      </c>
      <c r="E261" s="7" t="s">
        <v>175</v>
      </c>
      <c r="F261" s="15">
        <f>[2]!Tabela15[[#This Row],[Preço PIS/Cofins/ICMS]]*1.1</f>
        <v>3.9820000000000007</v>
      </c>
      <c r="G261" s="10"/>
    </row>
    <row r="262" spans="1:7" ht="15" customHeight="1" x14ac:dyDescent="0.25">
      <c r="A262" t="str">
        <f>IFERROR(VLOOKUP(Tabela15[[#This Row],[Produto]],[1]Planilha1!$K$3:$N$300,4,0),"NÃO")</f>
        <v>NÃO</v>
      </c>
      <c r="B262" s="12">
        <v>454</v>
      </c>
      <c r="C262" s="12" t="s">
        <v>286</v>
      </c>
      <c r="D262" s="12" t="s">
        <v>83</v>
      </c>
      <c r="E262" s="12" t="s">
        <v>175</v>
      </c>
      <c r="F262" s="14">
        <f>[2]!Tabela15[[#This Row],[Preço PIS/Cofins/ICMS]]*1.07</f>
        <v>0.46010000000000001</v>
      </c>
      <c r="G262" s="10"/>
    </row>
    <row r="263" spans="1:7" ht="15" customHeight="1" x14ac:dyDescent="0.25">
      <c r="A263" t="str">
        <f>IFERROR(VLOOKUP(Tabela15[[#This Row],[Produto]],[1]Planilha1!$K$3:$N$300,4,0),"NÃO")</f>
        <v>NÃO</v>
      </c>
      <c r="B263" s="12">
        <v>455</v>
      </c>
      <c r="C263" s="12" t="s">
        <v>287</v>
      </c>
      <c r="D263" s="12" t="s">
        <v>83</v>
      </c>
      <c r="E263" s="12" t="s">
        <v>175</v>
      </c>
      <c r="F263" s="14">
        <f>[2]!Tabela15[[#This Row],[Preço PIS/Cofins/ICMS]]*1.07</f>
        <v>0.53500000000000003</v>
      </c>
      <c r="G263" s="10"/>
    </row>
    <row r="264" spans="1:7" ht="15" customHeight="1" x14ac:dyDescent="0.25">
      <c r="A264" t="str">
        <f>IFERROR(VLOOKUP(Tabela15[[#This Row],[Produto]],[1]Planilha1!$K$3:$N$300,4,0),"NÃO")</f>
        <v>NÃO</v>
      </c>
      <c r="B264" s="12">
        <v>456</v>
      </c>
      <c r="C264" s="12" t="s">
        <v>288</v>
      </c>
      <c r="D264" s="12" t="s">
        <v>83</v>
      </c>
      <c r="E264" s="12" t="s">
        <v>175</v>
      </c>
      <c r="F264" s="14">
        <f>[2]!Tabela15[[#This Row],[Preço PIS/Cofins/ICMS]]*1.07</f>
        <v>2.0544000000000002</v>
      </c>
      <c r="G264" s="10"/>
    </row>
    <row r="265" spans="1:7" ht="15" customHeight="1" x14ac:dyDescent="0.25">
      <c r="A265" t="str">
        <f>IFERROR(VLOOKUP(Tabela15[[#This Row],[Produto]],[1]Planilha1!$K$3:$N$300,4,0),"NÃO")</f>
        <v>NÃO</v>
      </c>
      <c r="B265" s="12">
        <v>457</v>
      </c>
      <c r="C265" s="12" t="s">
        <v>289</v>
      </c>
      <c r="D265" s="12" t="s">
        <v>83</v>
      </c>
      <c r="E265" s="12" t="s">
        <v>175</v>
      </c>
      <c r="F265" s="14">
        <f>[2]!Tabela15[[#This Row],[Preço PIS/Cofins/ICMS]]*1.07</f>
        <v>5.6068000000000007</v>
      </c>
      <c r="G265" s="10"/>
    </row>
    <row r="266" spans="1:7" ht="15" customHeight="1" x14ac:dyDescent="0.25">
      <c r="A266" t="str">
        <f>IFERROR(VLOOKUP(Tabela15[[#This Row],[Produto]],[1]Planilha1!$K$3:$N$300,4,0),"NÃO")</f>
        <v>NÃO</v>
      </c>
      <c r="B266" s="12">
        <v>458</v>
      </c>
      <c r="C266" s="12" t="s">
        <v>290</v>
      </c>
      <c r="D266" s="12" t="s">
        <v>83</v>
      </c>
      <c r="E266" s="12" t="s">
        <v>175</v>
      </c>
      <c r="F266" s="14">
        <f>[2]!Tabela15[[#This Row],[Preço PIS/Cofins/ICMS]]*1.07</f>
        <v>3.7450000000000001</v>
      </c>
      <c r="G266" s="10"/>
    </row>
    <row r="267" spans="1:7" ht="15" customHeight="1" x14ac:dyDescent="0.25">
      <c r="A267" t="str">
        <f>IFERROR(VLOOKUP(Tabela15[[#This Row],[Produto]],[1]Planilha1!$K$3:$N$300,4,0),"NÃO")</f>
        <v>NÃO</v>
      </c>
      <c r="B267" s="12">
        <v>459</v>
      </c>
      <c r="C267" s="12" t="s">
        <v>291</v>
      </c>
      <c r="D267" s="12" t="s">
        <v>83</v>
      </c>
      <c r="E267" s="12" t="s">
        <v>175</v>
      </c>
      <c r="F267" s="14">
        <f>[2]!Tabela15[[#This Row],[Preço PIS/Cofins/ICMS]]*1.07</f>
        <v>18.682200000000002</v>
      </c>
      <c r="G267" s="10"/>
    </row>
    <row r="268" spans="1:7" ht="15" customHeight="1" x14ac:dyDescent="0.25">
      <c r="A268" t="str">
        <f>IFERROR(VLOOKUP(Tabela15[[#This Row],[Produto]],[1]Planilha1!$K$3:$N$300,4,0),"NÃO")</f>
        <v>NÃO</v>
      </c>
      <c r="B268" s="12">
        <v>460</v>
      </c>
      <c r="C268" s="12" t="s">
        <v>292</v>
      </c>
      <c r="D268" s="12" t="s">
        <v>83</v>
      </c>
      <c r="E268" s="12" t="s">
        <v>175</v>
      </c>
      <c r="F268" s="14">
        <f>[2]!Tabela15[[#This Row],[Preço PIS/Cofins/ICMS]]*1.07</f>
        <v>34.774999999999999</v>
      </c>
      <c r="G268" s="10"/>
    </row>
    <row r="269" spans="1:7" ht="15" customHeight="1" x14ac:dyDescent="0.25">
      <c r="A269" t="str">
        <f>IFERROR(VLOOKUP(Tabela15[[#This Row],[Produto]],[1]Planilha1!$K$3:$N$300,4,0),"NÃO")</f>
        <v>NÃO</v>
      </c>
      <c r="B269" s="12">
        <v>461</v>
      </c>
      <c r="C269" s="12" t="s">
        <v>293</v>
      </c>
      <c r="D269" s="12" t="s">
        <v>83</v>
      </c>
      <c r="E269" s="12" t="s">
        <v>175</v>
      </c>
      <c r="F269" s="14">
        <f>[2]!Tabela15[[#This Row],[Preço PIS/Cofins/ICMS]]*1.07</f>
        <v>47.732700000000001</v>
      </c>
      <c r="G269" s="10"/>
    </row>
    <row r="270" spans="1:7" ht="15" customHeight="1" x14ac:dyDescent="0.25">
      <c r="A270" t="str">
        <f>IFERROR(VLOOKUP(Tabela15[[#This Row],[Produto]],[1]Planilha1!$K$3:$N$300,4,0),"NÃO")</f>
        <v>NÃO</v>
      </c>
      <c r="B270" s="12">
        <v>462</v>
      </c>
      <c r="C270" s="12" t="s">
        <v>294</v>
      </c>
      <c r="D270" s="12" t="s">
        <v>83</v>
      </c>
      <c r="E270" s="12" t="s">
        <v>175</v>
      </c>
      <c r="F270" s="14">
        <f>[2]!Tabela15[[#This Row],[Preço PIS/Cofins/ICMS]]*1.07</f>
        <v>101.9924</v>
      </c>
      <c r="G270" s="10"/>
    </row>
    <row r="271" spans="1:7" ht="15" customHeight="1" x14ac:dyDescent="0.25">
      <c r="A271" t="str">
        <f>IFERROR(VLOOKUP(Tabela15[[#This Row],[Produto]],[1]Planilha1!$K$3:$N$300,4,0),"NÃO")</f>
        <v>NÃO</v>
      </c>
      <c r="B271" s="12">
        <v>463</v>
      </c>
      <c r="C271" s="12" t="s">
        <v>295</v>
      </c>
      <c r="D271" s="12" t="s">
        <v>83</v>
      </c>
      <c r="E271" s="12" t="s">
        <v>175</v>
      </c>
      <c r="F271" s="14">
        <f>[2]!Tabela15[[#This Row],[Preço PIS/Cofins/ICMS]]*1.07</f>
        <v>2.1720999999999999</v>
      </c>
      <c r="G271" s="10"/>
    </row>
    <row r="272" spans="1:7" ht="15" customHeight="1" x14ac:dyDescent="0.25">
      <c r="A272" t="str">
        <f>IFERROR(VLOOKUP(Tabela15[[#This Row],[Produto]],[1]Planilha1!$K$3:$N$300,4,0),"NÃO")</f>
        <v>NÃO</v>
      </c>
      <c r="B272" s="12">
        <v>464</v>
      </c>
      <c r="C272" s="12" t="s">
        <v>296</v>
      </c>
      <c r="D272" s="12" t="s">
        <v>83</v>
      </c>
      <c r="E272" s="12" t="s">
        <v>175</v>
      </c>
      <c r="F272" s="14">
        <f>[2]!Tabela15[[#This Row],[Preço PIS/Cofins/ICMS]]*1.07</f>
        <v>4.0125000000000002</v>
      </c>
      <c r="G272" s="10"/>
    </row>
    <row r="273" spans="1:7" ht="15" customHeight="1" x14ac:dyDescent="0.25">
      <c r="A273" t="str">
        <f>IFERROR(VLOOKUP(Tabela15[[#This Row],[Produto]],[1]Planilha1!$K$3:$N$300,4,0),"NÃO")</f>
        <v>NÃO</v>
      </c>
      <c r="B273" s="12">
        <v>465</v>
      </c>
      <c r="C273" s="12" t="s">
        <v>297</v>
      </c>
      <c r="D273" s="12" t="s">
        <v>83</v>
      </c>
      <c r="E273" s="12" t="s">
        <v>175</v>
      </c>
      <c r="F273" s="14">
        <f>[2]!Tabela15[[#This Row],[Preço PIS/Cofins/ICMS]]*1.07</f>
        <v>5.2537000000000003</v>
      </c>
      <c r="G273" s="10"/>
    </row>
    <row r="274" spans="1:7" ht="15" customHeight="1" x14ac:dyDescent="0.25">
      <c r="A274" t="str">
        <f>IFERROR(VLOOKUP(Tabela15[[#This Row],[Produto]],[1]Planilha1!$K$3:$N$300,4,0),"NÃO")</f>
        <v>NÃO</v>
      </c>
      <c r="B274" s="12">
        <v>466</v>
      </c>
      <c r="C274" s="12" t="s">
        <v>298</v>
      </c>
      <c r="D274" s="12" t="s">
        <v>83</v>
      </c>
      <c r="E274" s="12" t="s">
        <v>175</v>
      </c>
      <c r="F274" s="14">
        <f>[2]!Tabela15[[#This Row],[Preço PIS/Cofins/ICMS]]*1.07</f>
        <v>5.7887000000000004</v>
      </c>
      <c r="G274" s="10"/>
    </row>
    <row r="275" spans="1:7" ht="15" customHeight="1" x14ac:dyDescent="0.25">
      <c r="A275" t="str">
        <f>IFERROR(VLOOKUP(Tabela15[[#This Row],[Produto]],[1]Planilha1!$K$3:$N$300,4,0),"NÃO")</f>
        <v>NÃO</v>
      </c>
      <c r="B275" s="12">
        <v>468</v>
      </c>
      <c r="C275" s="12" t="s">
        <v>299</v>
      </c>
      <c r="D275" s="12" t="s">
        <v>83</v>
      </c>
      <c r="E275" s="12" t="s">
        <v>175</v>
      </c>
      <c r="F275" s="14">
        <f>[2]!Tabela15[[#This Row],[Preço PIS/Cofins/ICMS]]*1.07</f>
        <v>4.5689000000000002</v>
      </c>
      <c r="G275" s="10"/>
    </row>
    <row r="276" spans="1:7" ht="15" customHeight="1" x14ac:dyDescent="0.25">
      <c r="A276" t="str">
        <f>IFERROR(VLOOKUP(Tabela15[[#This Row],[Produto]],[1]Planilha1!$K$3:$N$300,4,0),"NÃO")</f>
        <v>NÃO</v>
      </c>
      <c r="B276" s="12">
        <v>469</v>
      </c>
      <c r="C276" s="12" t="s">
        <v>300</v>
      </c>
      <c r="D276" s="12" t="s">
        <v>83</v>
      </c>
      <c r="E276" s="12" t="s">
        <v>175</v>
      </c>
      <c r="F276" s="14">
        <f>[2]!Tabela15[[#This Row],[Preço PIS/Cofins/ICMS]]*1.07</f>
        <v>8.8168000000000006</v>
      </c>
      <c r="G276" s="10"/>
    </row>
    <row r="277" spans="1:7" ht="15" customHeight="1" x14ac:dyDescent="0.25">
      <c r="A277" t="str">
        <f>IFERROR(VLOOKUP(Tabela15[[#This Row],[Produto]],[1]Planilha1!$K$3:$N$300,4,0),"NÃO")</f>
        <v>NÃO</v>
      </c>
      <c r="B277" s="12">
        <v>470</v>
      </c>
      <c r="C277" s="12" t="s">
        <v>301</v>
      </c>
      <c r="D277" s="12" t="s">
        <v>83</v>
      </c>
      <c r="E277" s="12" t="s">
        <v>175</v>
      </c>
      <c r="F277" s="14">
        <f>[2]!Tabela15[[#This Row],[Preço PIS/Cofins/ICMS]]*1.07</f>
        <v>9.9724000000000004</v>
      </c>
      <c r="G277" s="10"/>
    </row>
    <row r="278" spans="1:7" ht="15" customHeight="1" x14ac:dyDescent="0.25">
      <c r="A278" t="str">
        <f>IFERROR(VLOOKUP(Tabela15[[#This Row],[Produto]],[1]Planilha1!$K$3:$N$300,4,0),"NÃO")</f>
        <v>NÃO</v>
      </c>
      <c r="B278" s="12">
        <v>472</v>
      </c>
      <c r="C278" s="12" t="s">
        <v>302</v>
      </c>
      <c r="D278" s="12" t="s">
        <v>83</v>
      </c>
      <c r="E278" s="12" t="s">
        <v>175</v>
      </c>
      <c r="F278" s="14">
        <f>[2]!Tabela15[[#This Row],[Preço PIS/Cofins/ICMS]]*1.07</f>
        <v>36.347900000000003</v>
      </c>
      <c r="G278" s="10"/>
    </row>
    <row r="279" spans="1:7" ht="15" customHeight="1" x14ac:dyDescent="0.25">
      <c r="A279" t="str">
        <f>IFERROR(VLOOKUP(Tabela15[[#This Row],[Produto]],[1]Planilha1!$K$3:$N$300,4,0),"NÃO")</f>
        <v>NÃO</v>
      </c>
      <c r="B279" s="12">
        <v>473</v>
      </c>
      <c r="C279" s="12" t="s">
        <v>303</v>
      </c>
      <c r="D279" s="12" t="s">
        <v>83</v>
      </c>
      <c r="E279" s="12" t="s">
        <v>175</v>
      </c>
      <c r="F279" s="14">
        <f>[2]!Tabela15[[#This Row],[Preço PIS/Cofins/ICMS]]*1.07</f>
        <v>70.823300000000003</v>
      </c>
      <c r="G279" s="10"/>
    </row>
    <row r="280" spans="1:7" ht="15" customHeight="1" x14ac:dyDescent="0.25">
      <c r="A280" t="str">
        <f>IFERROR(VLOOKUP(Tabela15[[#This Row],[Produto]],[1]Planilha1!$K$3:$N$300,4,0),"NÃO")</f>
        <v>NÃO</v>
      </c>
      <c r="B280" s="7">
        <v>474</v>
      </c>
      <c r="C280" s="7" t="s">
        <v>304</v>
      </c>
      <c r="D280" s="7" t="s">
        <v>83</v>
      </c>
      <c r="E280" s="7" t="s">
        <v>175</v>
      </c>
      <c r="F280" s="15">
        <f>[2]!Tabela15[[#This Row],[Preço PIS/Cofins/ICMS]]*1.1</f>
        <v>4.5540000000000003</v>
      </c>
      <c r="G280" s="10"/>
    </row>
    <row r="281" spans="1:7" ht="15" customHeight="1" x14ac:dyDescent="0.25">
      <c r="A281" t="str">
        <f>IFERROR(VLOOKUP(Tabela15[[#This Row],[Produto]],[1]Planilha1!$K$3:$N$300,4,0),"NÃO")</f>
        <v>NÃO</v>
      </c>
      <c r="B281" s="12">
        <v>475</v>
      </c>
      <c r="C281" s="12" t="s">
        <v>305</v>
      </c>
      <c r="D281" s="12" t="s">
        <v>83</v>
      </c>
      <c r="E281" s="12" t="s">
        <v>175</v>
      </c>
      <c r="F281" s="14">
        <f>[2]!Tabela15[[#This Row],[Preço PIS/Cofins/ICMS]]*1.07</f>
        <v>4.2157999999999998</v>
      </c>
      <c r="G281" s="10"/>
    </row>
    <row r="282" spans="1:7" ht="15" customHeight="1" x14ac:dyDescent="0.25">
      <c r="A282" t="str">
        <f>IFERROR(VLOOKUP(Tabela15[[#This Row],[Produto]],[1]Planilha1!$K$3:$N$300,4,0),"NÃO")</f>
        <v>NÃO</v>
      </c>
      <c r="B282" s="12">
        <v>476</v>
      </c>
      <c r="C282" s="12" t="s">
        <v>306</v>
      </c>
      <c r="D282" s="12" t="s">
        <v>83</v>
      </c>
      <c r="E282" s="12" t="s">
        <v>175</v>
      </c>
      <c r="F282" s="14">
        <f>[2]!Tabela15[[#This Row],[Preço PIS/Cofins/ICMS]]*1.07</f>
        <v>7.1155000000000008</v>
      </c>
      <c r="G282" s="10"/>
    </row>
    <row r="283" spans="1:7" ht="15" customHeight="1" x14ac:dyDescent="0.25">
      <c r="A283" t="str">
        <f>IFERROR(VLOOKUP(Tabela15[[#This Row],[Produto]],[1]Planilha1!$K$3:$N$300,4,0),"NÃO")</f>
        <v>NÃO</v>
      </c>
      <c r="B283" s="12">
        <v>477</v>
      </c>
      <c r="C283" s="12" t="s">
        <v>307</v>
      </c>
      <c r="D283" s="12" t="s">
        <v>83</v>
      </c>
      <c r="E283" s="12" t="s">
        <v>175</v>
      </c>
      <c r="F283" s="14">
        <f>[2]!Tabela15[[#This Row],[Preço PIS/Cofins/ICMS]]*1.07</f>
        <v>17.2912</v>
      </c>
      <c r="G283" s="10"/>
    </row>
    <row r="284" spans="1:7" ht="15" customHeight="1" x14ac:dyDescent="0.25">
      <c r="A284" t="str">
        <f>IFERROR(VLOOKUP(Tabela15[[#This Row],[Produto]],[1]Planilha1!$K$3:$N$300,4,0),"NÃO")</f>
        <v>NÃO</v>
      </c>
      <c r="B284" s="12">
        <v>478</v>
      </c>
      <c r="C284" s="12" t="s">
        <v>308</v>
      </c>
      <c r="D284" s="12" t="s">
        <v>83</v>
      </c>
      <c r="E284" s="12" t="s">
        <v>175</v>
      </c>
      <c r="F284" s="14">
        <f>[2]!Tabela15[[#This Row],[Preço PIS/Cofins/ICMS]]*1.07</f>
        <v>15.044200000000002</v>
      </c>
      <c r="G284" s="10"/>
    </row>
    <row r="285" spans="1:7" ht="15" customHeight="1" x14ac:dyDescent="0.25">
      <c r="A285" t="str">
        <f>IFERROR(VLOOKUP(Tabela15[[#This Row],[Produto]],[1]Planilha1!$K$3:$N$300,4,0),"NÃO")</f>
        <v>NÃO</v>
      </c>
      <c r="B285" s="12">
        <v>479</v>
      </c>
      <c r="C285" s="12" t="s">
        <v>309</v>
      </c>
      <c r="D285" s="12" t="s">
        <v>83</v>
      </c>
      <c r="E285" s="12" t="s">
        <v>175</v>
      </c>
      <c r="F285" s="14">
        <f>[2]!Tabela15[[#This Row],[Preço PIS/Cofins/ICMS]]*1.07</f>
        <v>47.400999999999996</v>
      </c>
      <c r="G285" s="10"/>
    </row>
    <row r="286" spans="1:7" ht="15" customHeight="1" x14ac:dyDescent="0.25">
      <c r="A286" t="str">
        <f>IFERROR(VLOOKUP(Tabela15[[#This Row],[Produto]],[1]Planilha1!$K$3:$N$300,4,0),"NÃO")</f>
        <v>NÃO</v>
      </c>
      <c r="B286" s="12">
        <v>480</v>
      </c>
      <c r="C286" s="12" t="s">
        <v>310</v>
      </c>
      <c r="D286" s="12" t="s">
        <v>83</v>
      </c>
      <c r="E286" s="12" t="s">
        <v>175</v>
      </c>
      <c r="F286" s="14">
        <f>[2]!Tabela15[[#This Row],[Preço PIS/Cofins/ICMS]]*1.07</f>
        <v>97.530500000000018</v>
      </c>
      <c r="G286" s="10"/>
    </row>
    <row r="287" spans="1:7" ht="15" customHeight="1" x14ac:dyDescent="0.25">
      <c r="A287" t="str">
        <f>IFERROR(VLOOKUP(Tabela15[[#This Row],[Produto]],[1]Planilha1!$K$3:$N$300,4,0),"NÃO")</f>
        <v>NÃO</v>
      </c>
      <c r="B287" s="12">
        <v>481</v>
      </c>
      <c r="C287" s="12" t="s">
        <v>311</v>
      </c>
      <c r="D287" s="12" t="s">
        <v>83</v>
      </c>
      <c r="E287" s="12" t="s">
        <v>175</v>
      </c>
      <c r="F287" s="14">
        <f>[2]!Tabela15[[#This Row],[Preço PIS/Cofins/ICMS]]*1.07</f>
        <v>100.14130000000002</v>
      </c>
      <c r="G287" s="10"/>
    </row>
    <row r="288" spans="1:7" ht="15" customHeight="1" x14ac:dyDescent="0.25">
      <c r="A288" t="str">
        <f>IFERROR(VLOOKUP(Tabela15[[#This Row],[Produto]],[1]Planilha1!$K$3:$N$300,4,0),"NÃO")</f>
        <v>NÃO</v>
      </c>
      <c r="B288" s="12">
        <v>482</v>
      </c>
      <c r="C288" s="12" t="s">
        <v>312</v>
      </c>
      <c r="D288" s="12" t="s">
        <v>83</v>
      </c>
      <c r="E288" s="12" t="s">
        <v>175</v>
      </c>
      <c r="F288" s="14">
        <f>[2]!Tabela15[[#This Row],[Preço PIS/Cofins/ICMS]]*1.07</f>
        <v>227.32150000000001</v>
      </c>
      <c r="G288" s="10"/>
    </row>
    <row r="289" spans="1:7" ht="15" customHeight="1" x14ac:dyDescent="0.25">
      <c r="A289" t="str">
        <f>IFERROR(VLOOKUP(Tabela15[[#This Row],[Produto]],[1]Planilha1!$K$3:$N$300,4,0),"NÃO")</f>
        <v>NÃO</v>
      </c>
      <c r="B289" s="7">
        <v>483</v>
      </c>
      <c r="C289" s="7" t="s">
        <v>313</v>
      </c>
      <c r="D289" s="7" t="s">
        <v>83</v>
      </c>
      <c r="E289" s="7" t="s">
        <v>314</v>
      </c>
      <c r="F289" s="15">
        <f>[2]!Tabela15[[#This Row],[Preço PIS/Cofins/ICMS]]*1.1</f>
        <v>0.70400000000000007</v>
      </c>
      <c r="G289" s="10"/>
    </row>
    <row r="290" spans="1:7" ht="15" customHeight="1" x14ac:dyDescent="0.25">
      <c r="A290" t="str">
        <f>IFERROR(VLOOKUP(Tabela15[[#This Row],[Produto]],[1]Planilha1!$K$3:$N$300,4,0),"NÃO")</f>
        <v>NÃO</v>
      </c>
      <c r="B290" s="7">
        <v>484</v>
      </c>
      <c r="C290" s="7" t="s">
        <v>315</v>
      </c>
      <c r="D290" s="7" t="s">
        <v>83</v>
      </c>
      <c r="E290" s="7" t="s">
        <v>314</v>
      </c>
      <c r="F290" s="15">
        <f>[2]!Tabela15[[#This Row],[Preço PIS/Cofins/ICMS]]*1.1</f>
        <v>1.5509999999999999</v>
      </c>
      <c r="G290" s="10"/>
    </row>
    <row r="291" spans="1:7" ht="15" customHeight="1" x14ac:dyDescent="0.25">
      <c r="A291" t="str">
        <f>IFERROR(VLOOKUP(Tabela15[[#This Row],[Produto]],[1]Planilha1!$K$3:$N$300,4,0),"NÃO")</f>
        <v>NÃO</v>
      </c>
      <c r="B291" s="7">
        <v>485</v>
      </c>
      <c r="C291" s="7" t="s">
        <v>316</v>
      </c>
      <c r="D291" s="7" t="s">
        <v>83</v>
      </c>
      <c r="E291" s="7" t="s">
        <v>314</v>
      </c>
      <c r="F291" s="15">
        <f>[2]!Tabela15[[#This Row],[Preço PIS/Cofins/ICMS]]*1.1</f>
        <v>1.034</v>
      </c>
      <c r="G291" s="10"/>
    </row>
    <row r="292" spans="1:7" ht="15" customHeight="1" x14ac:dyDescent="0.25">
      <c r="A292" t="str">
        <f>IFERROR(VLOOKUP(Tabela15[[#This Row],[Produto]],[1]Planilha1!$K$3:$N$300,4,0),"NÃO")</f>
        <v>NÃO</v>
      </c>
      <c r="B292" s="7">
        <v>486</v>
      </c>
      <c r="C292" s="7" t="s">
        <v>317</v>
      </c>
      <c r="D292" s="7" t="s">
        <v>83</v>
      </c>
      <c r="E292" s="7" t="s">
        <v>314</v>
      </c>
      <c r="F292" s="15">
        <f>[2]!Tabela15[[#This Row],[Preço PIS/Cofins/ICMS]]*1.1</f>
        <v>8.3160000000000007</v>
      </c>
      <c r="G292" s="10"/>
    </row>
    <row r="293" spans="1:7" ht="15" customHeight="1" x14ac:dyDescent="0.25">
      <c r="A293" t="str">
        <f>IFERROR(VLOOKUP(Tabela15[[#This Row],[Produto]],[1]Planilha1!$K$3:$N$300,4,0),"NÃO")</f>
        <v>NÃO</v>
      </c>
      <c r="B293" s="7">
        <v>487</v>
      </c>
      <c r="C293" s="7" t="s">
        <v>318</v>
      </c>
      <c r="D293" s="7" t="s">
        <v>83</v>
      </c>
      <c r="E293" s="7" t="s">
        <v>314</v>
      </c>
      <c r="F293" s="15">
        <f>[2]!Tabela15[[#This Row],[Preço PIS/Cofins/ICMS]]*1.1</f>
        <v>0.627</v>
      </c>
      <c r="G293" s="10"/>
    </row>
    <row r="294" spans="1:7" ht="15" customHeight="1" x14ac:dyDescent="0.25">
      <c r="A294" t="str">
        <f>IFERROR(VLOOKUP(Tabela15[[#This Row],[Produto]],[1]Planilha1!$K$3:$N$300,4,0),"NÃO")</f>
        <v>NÃO</v>
      </c>
      <c r="B294" s="7">
        <v>488</v>
      </c>
      <c r="C294" s="7" t="s">
        <v>319</v>
      </c>
      <c r="D294" s="7" t="s">
        <v>83</v>
      </c>
      <c r="E294" s="7" t="s">
        <v>314</v>
      </c>
      <c r="F294" s="15">
        <f>[2]!Tabela15[[#This Row],[Preço PIS/Cofins/ICMS]]*1.1</f>
        <v>0.77</v>
      </c>
      <c r="G294" s="10"/>
    </row>
    <row r="295" spans="1:7" ht="15" customHeight="1" x14ac:dyDescent="0.25">
      <c r="A295" t="str">
        <f>IFERROR(VLOOKUP(Tabela15[[#This Row],[Produto]],[1]Planilha1!$K$3:$N$300,4,0),"NÃO")</f>
        <v>NÃO</v>
      </c>
      <c r="B295" s="7">
        <v>489</v>
      </c>
      <c r="C295" s="7" t="s">
        <v>320</v>
      </c>
      <c r="D295" s="7" t="s">
        <v>83</v>
      </c>
      <c r="E295" s="7" t="s">
        <v>314</v>
      </c>
      <c r="F295" s="15">
        <f>[2]!Tabela15[[#This Row],[Preço PIS/Cofins/ICMS]]*1.1</f>
        <v>0.9900000000000001</v>
      </c>
      <c r="G295" s="10"/>
    </row>
    <row r="296" spans="1:7" ht="15" customHeight="1" x14ac:dyDescent="0.25">
      <c r="A296" t="str">
        <f>IFERROR(VLOOKUP(Tabela15[[#This Row],[Produto]],[1]Planilha1!$K$3:$N$300,4,0),"NÃO")</f>
        <v>NÃO</v>
      </c>
      <c r="B296" s="7">
        <v>490</v>
      </c>
      <c r="C296" s="7" t="s">
        <v>321</v>
      </c>
      <c r="D296" s="7" t="s">
        <v>83</v>
      </c>
      <c r="E296" s="7" t="s">
        <v>314</v>
      </c>
      <c r="F296" s="15">
        <f>[2]!Tabela15[[#This Row],[Preço PIS/Cofins/ICMS]]*1.1</f>
        <v>2.4090000000000003</v>
      </c>
      <c r="G296" s="10"/>
    </row>
    <row r="297" spans="1:7" ht="15" customHeight="1" x14ac:dyDescent="0.25">
      <c r="A297" t="str">
        <f>IFERROR(VLOOKUP(Tabela15[[#This Row],[Produto]],[1]Planilha1!$K$3:$N$300,4,0),"NÃO")</f>
        <v>NÃO</v>
      </c>
      <c r="B297" s="7">
        <v>491</v>
      </c>
      <c r="C297" s="7" t="s">
        <v>322</v>
      </c>
      <c r="D297" s="7" t="s">
        <v>83</v>
      </c>
      <c r="E297" s="7" t="s">
        <v>314</v>
      </c>
      <c r="F297" s="15">
        <f>[2]!Tabela15[[#This Row],[Preço PIS/Cofins/ICMS]]*1.1</f>
        <v>4.8950000000000005</v>
      </c>
      <c r="G297" s="10"/>
    </row>
    <row r="298" spans="1:7" ht="15" customHeight="1" x14ac:dyDescent="0.25">
      <c r="A298" t="str">
        <f>IFERROR(VLOOKUP(Tabela15[[#This Row],[Produto]],[1]Planilha1!$K$3:$N$300,4,0),"NÃO")</f>
        <v>NÃO</v>
      </c>
      <c r="B298" s="7">
        <v>492</v>
      </c>
      <c r="C298" s="7" t="s">
        <v>323</v>
      </c>
      <c r="D298" s="7" t="s">
        <v>83</v>
      </c>
      <c r="E298" s="7" t="s">
        <v>314</v>
      </c>
      <c r="F298" s="15">
        <f>[2]!Tabela15[[#This Row],[Preço PIS/Cofins/ICMS]]*1.1</f>
        <v>10.175000000000001</v>
      </c>
      <c r="G298" s="10"/>
    </row>
    <row r="299" spans="1:7" ht="15" customHeight="1" x14ac:dyDescent="0.25">
      <c r="A299" t="str">
        <f>IFERROR(VLOOKUP(Tabela15[[#This Row],[Produto]],[1]Planilha1!$K$3:$N$300,4,0),"NÃO")</f>
        <v>NÃO</v>
      </c>
      <c r="B299" s="7">
        <v>493</v>
      </c>
      <c r="C299" s="7" t="s">
        <v>324</v>
      </c>
      <c r="D299" s="7" t="s">
        <v>83</v>
      </c>
      <c r="E299" s="7" t="s">
        <v>314</v>
      </c>
      <c r="F299" s="15">
        <f>[2]!Tabela15[[#This Row],[Preço PIS/Cofins/ICMS]]*1.1</f>
        <v>1.518</v>
      </c>
      <c r="G299" s="10"/>
    </row>
    <row r="300" spans="1:7" ht="15" customHeight="1" x14ac:dyDescent="0.25">
      <c r="A300" t="str">
        <f>IFERROR(VLOOKUP(Tabela15[[#This Row],[Produto]],[1]Planilha1!$K$3:$N$300,4,0),"NÃO")</f>
        <v>NÃO</v>
      </c>
      <c r="B300" s="7">
        <v>494</v>
      </c>
      <c r="C300" s="7" t="s">
        <v>325</v>
      </c>
      <c r="D300" s="7" t="s">
        <v>83</v>
      </c>
      <c r="E300" s="7" t="s">
        <v>314</v>
      </c>
      <c r="F300" s="15">
        <f>[2]!Tabela15[[#This Row],[Preço PIS/Cofins/ICMS]]*1.1</f>
        <v>1.4190000000000003</v>
      </c>
      <c r="G300" s="10"/>
    </row>
    <row r="301" spans="1:7" ht="15" customHeight="1" x14ac:dyDescent="0.25">
      <c r="A301" t="str">
        <f>IFERROR(VLOOKUP(Tabela15[[#This Row],[Produto]],[1]Planilha1!$K$3:$N$300,4,0),"NÃO")</f>
        <v>NÃO</v>
      </c>
      <c r="B301" s="7">
        <v>495</v>
      </c>
      <c r="C301" s="7" t="s">
        <v>326</v>
      </c>
      <c r="D301" s="7" t="s">
        <v>83</v>
      </c>
      <c r="E301" s="7" t="s">
        <v>314</v>
      </c>
      <c r="F301" s="15">
        <f>[2]!Tabela15[[#This Row],[Preço PIS/Cofins/ICMS]]*1.1</f>
        <v>1.617</v>
      </c>
      <c r="G301" s="10"/>
    </row>
    <row r="302" spans="1:7" ht="15" customHeight="1" x14ac:dyDescent="0.25">
      <c r="A302" t="str">
        <f>IFERROR(VLOOKUP(Tabela15[[#This Row],[Produto]],[1]Planilha1!$K$3:$N$300,4,0),"NÃO")</f>
        <v>NÃO</v>
      </c>
      <c r="B302" s="7">
        <v>496</v>
      </c>
      <c r="C302" s="7" t="s">
        <v>327</v>
      </c>
      <c r="D302" s="7" t="s">
        <v>83</v>
      </c>
      <c r="E302" s="7" t="s">
        <v>314</v>
      </c>
      <c r="F302" s="15">
        <f>[2]!Tabela15[[#This Row],[Preço PIS/Cofins/ICMS]]*1.1</f>
        <v>7.7330000000000005</v>
      </c>
      <c r="G302" s="10"/>
    </row>
    <row r="303" spans="1:7" ht="15" customHeight="1" x14ac:dyDescent="0.25">
      <c r="A303" t="str">
        <f>IFERROR(VLOOKUP(Tabela15[[#This Row],[Produto]],[1]Planilha1!$K$3:$N$300,4,0),"NÃO")</f>
        <v>NÃO</v>
      </c>
      <c r="B303" s="7">
        <v>497</v>
      </c>
      <c r="C303" s="7" t="s">
        <v>328</v>
      </c>
      <c r="D303" s="7" t="s">
        <v>83</v>
      </c>
      <c r="E303" s="7" t="s">
        <v>329</v>
      </c>
      <c r="F303" s="15">
        <f>[2]!Tabela15[[#This Row],[Preço PIS/Cofins/ICMS]]*1.1</f>
        <v>3.1790000000000003</v>
      </c>
      <c r="G303" s="10"/>
    </row>
    <row r="304" spans="1:7" ht="15" customHeight="1" x14ac:dyDescent="0.25">
      <c r="A304" t="str">
        <f>IFERROR(VLOOKUP(Tabela15[[#This Row],[Produto]],[1]Planilha1!$K$3:$N$300,4,0),"NÃO")</f>
        <v>NÃO</v>
      </c>
      <c r="B304" s="7">
        <v>498</v>
      </c>
      <c r="C304" s="7" t="s">
        <v>330</v>
      </c>
      <c r="D304" s="7" t="s">
        <v>83</v>
      </c>
      <c r="E304" s="7" t="s">
        <v>329</v>
      </c>
      <c r="F304" s="15">
        <f>[2]!Tabela15[[#This Row],[Preço PIS/Cofins/ICMS]]*1.1</f>
        <v>3.7290000000000005</v>
      </c>
      <c r="G304" s="10"/>
    </row>
    <row r="305" spans="1:7" ht="15" customHeight="1" x14ac:dyDescent="0.25">
      <c r="A305" t="str">
        <f>IFERROR(VLOOKUP(Tabela15[[#This Row],[Produto]],[1]Planilha1!$K$3:$N$300,4,0),"NÃO")</f>
        <v>NÃO</v>
      </c>
      <c r="B305" s="7">
        <v>499</v>
      </c>
      <c r="C305" s="7" t="s">
        <v>331</v>
      </c>
      <c r="D305" s="7" t="s">
        <v>83</v>
      </c>
      <c r="E305" s="7" t="s">
        <v>329</v>
      </c>
      <c r="F305" s="15">
        <f>[2]!Tabela15[[#This Row],[Preço PIS/Cofins/ICMS]]*1.1</f>
        <v>2.4530000000000003</v>
      </c>
      <c r="G305" s="10"/>
    </row>
    <row r="306" spans="1:7" ht="15" customHeight="1" x14ac:dyDescent="0.25">
      <c r="A306" t="str">
        <f>IFERROR(VLOOKUP(Tabela15[[#This Row],[Produto]],[1]Planilha1!$K$3:$N$300,4,0),"NÃO")</f>
        <v>NÃO</v>
      </c>
      <c r="B306" s="7">
        <v>500</v>
      </c>
      <c r="C306" s="7" t="s">
        <v>332</v>
      </c>
      <c r="D306" s="7" t="s">
        <v>83</v>
      </c>
      <c r="E306" s="7" t="s">
        <v>329</v>
      </c>
      <c r="F306" s="15">
        <f>[2]!Tabela15[[#This Row],[Preço PIS/Cofins/ICMS]]*1.1</f>
        <v>7.3590000000000009</v>
      </c>
      <c r="G306" s="10"/>
    </row>
    <row r="307" spans="1:7" ht="15" customHeight="1" x14ac:dyDescent="0.25">
      <c r="A307" t="str">
        <f>IFERROR(VLOOKUP(Tabela15[[#This Row],[Produto]],[1]Planilha1!$K$3:$N$300,4,0),"NÃO")</f>
        <v>NÃO</v>
      </c>
      <c r="B307" s="7">
        <v>501</v>
      </c>
      <c r="C307" s="7" t="s">
        <v>333</v>
      </c>
      <c r="D307" s="7" t="s">
        <v>83</v>
      </c>
      <c r="E307" s="7" t="s">
        <v>329</v>
      </c>
      <c r="F307" s="15">
        <f>[2]!Tabela15[[#This Row],[Preço PIS/Cofins/ICMS]]*1.1</f>
        <v>2.5410000000000004</v>
      </c>
      <c r="G307" s="10"/>
    </row>
    <row r="308" spans="1:7" ht="15" customHeight="1" x14ac:dyDescent="0.25">
      <c r="A308" t="str">
        <f>IFERROR(VLOOKUP(Tabela15[[#This Row],[Produto]],[1]Planilha1!$K$3:$N$300,4,0),"NÃO")</f>
        <v>NÃO</v>
      </c>
      <c r="B308" s="7">
        <v>502</v>
      </c>
      <c r="C308" s="7" t="s">
        <v>334</v>
      </c>
      <c r="D308" s="7" t="s">
        <v>83</v>
      </c>
      <c r="E308" s="7" t="s">
        <v>329</v>
      </c>
      <c r="F308" s="15">
        <f>[2]!Tabela15[[#This Row],[Preço PIS/Cofins/ICMS]]*1.1</f>
        <v>3.2230000000000003</v>
      </c>
      <c r="G308" s="10"/>
    </row>
    <row r="309" spans="1:7" ht="15" customHeight="1" x14ac:dyDescent="0.25">
      <c r="A309" t="str">
        <f>IFERROR(VLOOKUP(Tabela15[[#This Row],[Produto]],[1]Planilha1!$K$3:$N$300,4,0),"NÃO")</f>
        <v>NÃO</v>
      </c>
      <c r="B309" s="7">
        <v>503</v>
      </c>
      <c r="C309" s="7" t="s">
        <v>335</v>
      </c>
      <c r="D309" s="7" t="s">
        <v>83</v>
      </c>
      <c r="E309" s="7" t="s">
        <v>329</v>
      </c>
      <c r="F309" s="15">
        <f>[2]!Tabela15[[#This Row],[Preço PIS/Cofins/ICMS]]*1.1</f>
        <v>2.871</v>
      </c>
      <c r="G309" s="10"/>
    </row>
    <row r="310" spans="1:7" ht="15" customHeight="1" x14ac:dyDescent="0.25">
      <c r="A310" t="str">
        <f>IFERROR(VLOOKUP(Tabela15[[#This Row],[Produto]],[1]Planilha1!$K$3:$N$300,4,0),"NÃO")</f>
        <v>NÃO</v>
      </c>
      <c r="B310" s="7">
        <v>504</v>
      </c>
      <c r="C310" s="7" t="s">
        <v>336</v>
      </c>
      <c r="D310" s="7" t="s">
        <v>83</v>
      </c>
      <c r="E310" s="7" t="s">
        <v>329</v>
      </c>
      <c r="F310" s="15">
        <f>[2]!Tabela15[[#This Row],[Preço PIS/Cofins/ICMS]]*1.1</f>
        <v>5.4119999999999999</v>
      </c>
      <c r="G310" s="10"/>
    </row>
    <row r="311" spans="1:7" ht="15" customHeight="1" x14ac:dyDescent="0.25">
      <c r="A311" t="str">
        <f>IFERROR(VLOOKUP(Tabela15[[#This Row],[Produto]],[1]Planilha1!$K$3:$N$300,4,0),"NÃO")</f>
        <v>NÃO</v>
      </c>
      <c r="B311" s="7">
        <v>505</v>
      </c>
      <c r="C311" s="7" t="s">
        <v>337</v>
      </c>
      <c r="D311" s="7" t="s">
        <v>83</v>
      </c>
      <c r="E311" s="7" t="s">
        <v>329</v>
      </c>
      <c r="F311" s="15">
        <f>[2]!Tabela15[[#This Row],[Preço PIS/Cofins/ICMS]]*1.1</f>
        <v>5.5659999999999998</v>
      </c>
      <c r="G311" s="10"/>
    </row>
    <row r="312" spans="1:7" ht="15" customHeight="1" x14ac:dyDescent="0.25">
      <c r="A312" t="str">
        <f>IFERROR(VLOOKUP(Tabela15[[#This Row],[Produto]],[1]Planilha1!$K$3:$N$300,4,0),"NÃO")</f>
        <v>NÃO</v>
      </c>
      <c r="B312" s="7">
        <v>506</v>
      </c>
      <c r="C312" s="7" t="s">
        <v>338</v>
      </c>
      <c r="D312" s="7" t="s">
        <v>83</v>
      </c>
      <c r="E312" s="7" t="s">
        <v>329</v>
      </c>
      <c r="F312" s="15">
        <f>[2]!Tabela15[[#This Row],[Preço PIS/Cofins/ICMS]]*1.1</f>
        <v>3.883</v>
      </c>
      <c r="G312" s="10"/>
    </row>
    <row r="313" spans="1:7" ht="15" customHeight="1" x14ac:dyDescent="0.25">
      <c r="A313" t="str">
        <f>IFERROR(VLOOKUP(Tabela15[[#This Row],[Produto]],[1]Planilha1!$K$3:$N$300,4,0),"NÃO")</f>
        <v>NÃO</v>
      </c>
      <c r="B313" s="7">
        <v>507</v>
      </c>
      <c r="C313" s="7" t="s">
        <v>339</v>
      </c>
      <c r="D313" s="7" t="s">
        <v>83</v>
      </c>
      <c r="E313" s="7" t="s">
        <v>329</v>
      </c>
      <c r="F313" s="15">
        <f>[2]!Tabela15[[#This Row],[Preço PIS/Cofins/ICMS]]*1.1</f>
        <v>9.2180000000000017</v>
      </c>
      <c r="G313" s="10"/>
    </row>
    <row r="314" spans="1:7" ht="15" customHeight="1" x14ac:dyDescent="0.25">
      <c r="A314" t="str">
        <f>IFERROR(VLOOKUP(Tabela15[[#This Row],[Produto]],[1]Planilha1!$K$3:$N$300,4,0),"NÃO")</f>
        <v>NÃO</v>
      </c>
      <c r="B314" s="7">
        <v>516</v>
      </c>
      <c r="C314" s="7" t="s">
        <v>340</v>
      </c>
      <c r="D314" s="7" t="s">
        <v>164</v>
      </c>
      <c r="E314" s="7" t="s">
        <v>341</v>
      </c>
      <c r="F314" s="15">
        <f>[2]!Tabela15[[#This Row],[Preço PIS/Cofins/ICMS]]*1.1</f>
        <v>1.4960000000000002</v>
      </c>
      <c r="G314" s="10"/>
    </row>
    <row r="315" spans="1:7" ht="15" customHeight="1" x14ac:dyDescent="0.25">
      <c r="A315" t="str">
        <f>IFERROR(VLOOKUP(Tabela15[[#This Row],[Produto]],[1]Planilha1!$K$3:$N$300,4,0),"NÃO")</f>
        <v>NÃO</v>
      </c>
      <c r="B315" s="7">
        <v>517</v>
      </c>
      <c r="C315" s="7" t="s">
        <v>342</v>
      </c>
      <c r="D315" s="7" t="s">
        <v>164</v>
      </c>
      <c r="E315" s="7" t="s">
        <v>341</v>
      </c>
      <c r="F315" s="15">
        <f>[2]!Tabela15[[#This Row],[Preço PIS/Cofins/ICMS]]*1.1</f>
        <v>3.8940000000000006</v>
      </c>
      <c r="G315" s="10"/>
    </row>
    <row r="316" spans="1:7" ht="15" customHeight="1" x14ac:dyDescent="0.25">
      <c r="A316" t="str">
        <f>IFERROR(VLOOKUP(Tabela15[[#This Row],[Produto]],[1]Planilha1!$K$3:$N$300,4,0),"NÃO")</f>
        <v>NÃO</v>
      </c>
      <c r="B316" s="7">
        <v>518</v>
      </c>
      <c r="C316" s="7" t="s">
        <v>343</v>
      </c>
      <c r="D316" s="7" t="s">
        <v>164</v>
      </c>
      <c r="E316" s="7" t="s">
        <v>341</v>
      </c>
      <c r="F316" s="15">
        <f>[2]!Tabela15[[#This Row],[Preço PIS/Cofins/ICMS]]*1.1</f>
        <v>8.4370000000000012</v>
      </c>
      <c r="G316" s="10"/>
    </row>
    <row r="317" spans="1:7" ht="15" customHeight="1" x14ac:dyDescent="0.25">
      <c r="A317" t="str">
        <f>IFERROR(VLOOKUP(Tabela15[[#This Row],[Produto]],[1]Planilha1!$K$3:$N$300,4,0),"NÃO")</f>
        <v>NÃO</v>
      </c>
      <c r="B317" s="7">
        <v>519</v>
      </c>
      <c r="C317" s="7" t="s">
        <v>344</v>
      </c>
      <c r="D317" s="7" t="s">
        <v>164</v>
      </c>
      <c r="E317" s="7" t="s">
        <v>341</v>
      </c>
      <c r="F317" s="15">
        <v>30.492999999999999</v>
      </c>
      <c r="G317" s="10"/>
    </row>
    <row r="318" spans="1:7" ht="15" customHeight="1" x14ac:dyDescent="0.25">
      <c r="A318" t="str">
        <f>IFERROR(VLOOKUP(Tabela15[[#This Row],[Produto]],[1]Planilha1!$K$3:$N$300,4,0),"NÃO")</f>
        <v>NÃO</v>
      </c>
      <c r="B318" s="7">
        <v>520</v>
      </c>
      <c r="C318" s="7" t="s">
        <v>345</v>
      </c>
      <c r="D318" s="7" t="s">
        <v>164</v>
      </c>
      <c r="E318" s="7" t="s">
        <v>341</v>
      </c>
      <c r="F318" s="15">
        <f>[2]!Tabela15[[#This Row],[Preço PIS/Cofins/ICMS]]*1.1</f>
        <v>8.6240000000000006</v>
      </c>
      <c r="G318" s="10"/>
    </row>
    <row r="319" spans="1:7" ht="15" customHeight="1" x14ac:dyDescent="0.25">
      <c r="A319" t="str">
        <f>IFERROR(VLOOKUP(Tabela15[[#This Row],[Produto]],[1]Planilha1!$K$3:$N$300,4,0),"NÃO")</f>
        <v>NÃO</v>
      </c>
      <c r="B319" s="7">
        <v>521</v>
      </c>
      <c r="C319" s="7" t="s">
        <v>346</v>
      </c>
      <c r="D319" s="7" t="s">
        <v>164</v>
      </c>
      <c r="E319" s="7" t="s">
        <v>341</v>
      </c>
      <c r="F319" s="15">
        <f>[2]!Tabela15[[#This Row],[Preço PIS/Cofins/ICMS]]*1.1</f>
        <v>29.535000000000004</v>
      </c>
      <c r="G319" s="10"/>
    </row>
    <row r="320" spans="1:7" ht="15" customHeight="1" x14ac:dyDescent="0.25">
      <c r="A320" t="str">
        <f>IFERROR(VLOOKUP(Tabela15[[#This Row],[Produto]],[1]Planilha1!$K$3:$N$300,4,0),"NÃO")</f>
        <v>NÃO</v>
      </c>
      <c r="B320" s="7">
        <v>522</v>
      </c>
      <c r="C320" s="7" t="s">
        <v>347</v>
      </c>
      <c r="D320" s="7" t="s">
        <v>164</v>
      </c>
      <c r="E320" s="7" t="s">
        <v>341</v>
      </c>
      <c r="F320" s="15">
        <f>[2]!Tabela15[[#This Row],[Preço PIS/Cofins/ICMS]]*1.1</f>
        <v>15.697000000000001</v>
      </c>
      <c r="G320" s="10"/>
    </row>
    <row r="321" spans="1:7" ht="15" customHeight="1" x14ac:dyDescent="0.25">
      <c r="A321" t="str">
        <f>IFERROR(VLOOKUP(Tabela15[[#This Row],[Produto]],[1]Planilha1!$K$3:$N$300,4,0),"NÃO")</f>
        <v>NÃO</v>
      </c>
      <c r="B321" s="7">
        <v>523</v>
      </c>
      <c r="C321" s="7" t="s">
        <v>348</v>
      </c>
      <c r="D321" s="7" t="s">
        <v>164</v>
      </c>
      <c r="E321" s="7" t="s">
        <v>341</v>
      </c>
      <c r="F321" s="15">
        <f>[2]!Tabela15[[#This Row],[Preço PIS/Cofins/ICMS]]*1.1</f>
        <v>56.94700000000001</v>
      </c>
      <c r="G321" s="10"/>
    </row>
    <row r="322" spans="1:7" ht="15" customHeight="1" x14ac:dyDescent="0.25">
      <c r="A322" t="str">
        <f>IFERROR(VLOOKUP(Tabela15[[#This Row],[Produto]],[1]Planilha1!$K$3:$N$300,4,0),"NÃO")</f>
        <v>NÃO</v>
      </c>
      <c r="B322" s="7">
        <v>540</v>
      </c>
      <c r="C322" s="7" t="s">
        <v>349</v>
      </c>
      <c r="D322" s="7" t="s">
        <v>83</v>
      </c>
      <c r="E322" s="7" t="s">
        <v>350</v>
      </c>
      <c r="F322" s="15">
        <f>[2]!Tabela15[[#This Row],[Preço PIS/Cofins/ICMS]]*1.1</f>
        <v>2.5739999999999998</v>
      </c>
      <c r="G322" s="10"/>
    </row>
    <row r="323" spans="1:7" ht="15" customHeight="1" x14ac:dyDescent="0.25">
      <c r="A323" t="str">
        <f>IFERROR(VLOOKUP(Tabela15[[#This Row],[Produto]],[1]Planilha1!$K$3:$N$300,4,0),"NÃO")</f>
        <v>NÃO</v>
      </c>
      <c r="B323" s="7">
        <v>541</v>
      </c>
      <c r="C323" s="7" t="s">
        <v>351</v>
      </c>
      <c r="D323" s="7" t="s">
        <v>83</v>
      </c>
      <c r="E323" s="7" t="s">
        <v>350</v>
      </c>
      <c r="F323" s="15">
        <f>[2]!Tabela15[[#This Row],[Preço PIS/Cofins/ICMS]]*1.1</f>
        <v>3.1240000000000001</v>
      </c>
      <c r="G323" s="10"/>
    </row>
    <row r="324" spans="1:7" ht="15" customHeight="1" x14ac:dyDescent="0.25">
      <c r="A324" t="str">
        <f>IFERROR(VLOOKUP(Tabela15[[#This Row],[Produto]],[1]Planilha1!$K$3:$N$300,4,0),"NÃO")</f>
        <v>NÃO</v>
      </c>
      <c r="B324" s="7">
        <v>542</v>
      </c>
      <c r="C324" s="7" t="s">
        <v>352</v>
      </c>
      <c r="D324" s="7" t="s">
        <v>83</v>
      </c>
      <c r="E324" s="7" t="s">
        <v>350</v>
      </c>
      <c r="F324" s="15">
        <f>[2]!Tabela15[[#This Row],[Preço PIS/Cofins/ICMS]]*1.1</f>
        <v>6.1710000000000012</v>
      </c>
      <c r="G324" s="10"/>
    </row>
    <row r="325" spans="1:7" ht="15" customHeight="1" x14ac:dyDescent="0.25">
      <c r="A325" t="str">
        <f>IFERROR(VLOOKUP(Tabela15[[#This Row],[Produto]],[1]Planilha1!$K$3:$N$300,4,0),"NÃO")</f>
        <v>NÃO</v>
      </c>
      <c r="B325" s="7">
        <v>543</v>
      </c>
      <c r="C325" s="7" t="s">
        <v>353</v>
      </c>
      <c r="D325" s="7" t="s">
        <v>83</v>
      </c>
      <c r="E325" s="7" t="s">
        <v>350</v>
      </c>
      <c r="F325" s="15">
        <f>[2]!Tabela15[[#This Row],[Preço PIS/Cofins/ICMS]]*1.1</f>
        <v>9.5590000000000011</v>
      </c>
      <c r="G325" s="10"/>
    </row>
    <row r="326" spans="1:7" ht="15" customHeight="1" x14ac:dyDescent="0.25">
      <c r="A326" t="str">
        <f>IFERROR(VLOOKUP(Tabela15[[#This Row],[Produto]],[1]Planilha1!$K$3:$N$300,4,0),"NÃO")</f>
        <v>NÃO</v>
      </c>
      <c r="B326" s="7">
        <v>544</v>
      </c>
      <c r="C326" s="7" t="s">
        <v>354</v>
      </c>
      <c r="D326" s="7" t="s">
        <v>83</v>
      </c>
      <c r="E326" s="7" t="s">
        <v>350</v>
      </c>
      <c r="F326" s="15">
        <f>[2]!Tabela15[[#This Row],[Preço PIS/Cofins/ICMS]]*1.1</f>
        <v>11.099</v>
      </c>
      <c r="G326" s="10"/>
    </row>
    <row r="327" spans="1:7" ht="15" customHeight="1" x14ac:dyDescent="0.25">
      <c r="A327" t="str">
        <f>IFERROR(VLOOKUP(Tabela15[[#This Row],[Produto]],[1]Planilha1!$K$3:$N$300,4,0),"NÃO")</f>
        <v>NÃO</v>
      </c>
      <c r="B327" s="7">
        <v>545</v>
      </c>
      <c r="C327" s="7" t="s">
        <v>355</v>
      </c>
      <c r="D327" s="7" t="s">
        <v>83</v>
      </c>
      <c r="E327" s="7" t="s">
        <v>350</v>
      </c>
      <c r="F327" s="15">
        <f>[2]!Tabela15[[#This Row],[Preço PIS/Cofins/ICMS]]*1.1</f>
        <v>20.119</v>
      </c>
      <c r="G327" s="10"/>
    </row>
    <row r="328" spans="1:7" ht="15" customHeight="1" x14ac:dyDescent="0.25">
      <c r="A328" t="str">
        <f>IFERROR(VLOOKUP(Tabela15[[#This Row],[Produto]],[1]Planilha1!$K$3:$N$300,4,0),"NÃO")</f>
        <v>NÃO</v>
      </c>
      <c r="B328" s="7">
        <v>546</v>
      </c>
      <c r="C328" s="7" t="s">
        <v>356</v>
      </c>
      <c r="D328" s="7" t="s">
        <v>83</v>
      </c>
      <c r="E328" s="7" t="s">
        <v>350</v>
      </c>
      <c r="F328" s="15">
        <f>[2]!Tabela15[[#This Row],[Preço PIS/Cofins/ICMS]]*1.1</f>
        <v>62.392000000000003</v>
      </c>
      <c r="G328" s="10"/>
    </row>
    <row r="329" spans="1:7" ht="15" customHeight="1" x14ac:dyDescent="0.25">
      <c r="A329" t="str">
        <f>IFERROR(VLOOKUP(Tabela15[[#This Row],[Produto]],[1]Planilha1!$K$3:$N$300,4,0),"NÃO")</f>
        <v>NÃO</v>
      </c>
      <c r="B329" s="7">
        <v>547</v>
      </c>
      <c r="C329" s="7" t="s">
        <v>357</v>
      </c>
      <c r="D329" s="7" t="s">
        <v>83</v>
      </c>
      <c r="E329" s="7" t="s">
        <v>350</v>
      </c>
      <c r="F329" s="15">
        <f>[2]!Tabela15[[#This Row],[Preço PIS/Cofins/ICMS]]*1.1</f>
        <v>91.256</v>
      </c>
      <c r="G329" s="10"/>
    </row>
    <row r="330" spans="1:7" ht="15" customHeight="1" x14ac:dyDescent="0.25">
      <c r="A330" t="str">
        <f>IFERROR(VLOOKUP(Tabela15[[#This Row],[Produto]],[1]Planilha1!$K$3:$N$300,4,0),"NÃO")</f>
        <v>NÃO</v>
      </c>
      <c r="B330" s="7">
        <v>548</v>
      </c>
      <c r="C330" s="7" t="s">
        <v>358</v>
      </c>
      <c r="D330" s="7" t="s">
        <v>83</v>
      </c>
      <c r="E330" s="7" t="s">
        <v>350</v>
      </c>
      <c r="F330" s="15">
        <f>[2]!Tabela15[[#This Row],[Preço PIS/Cofins/ICMS]]*1.1</f>
        <v>167.98100000000002</v>
      </c>
      <c r="G330" s="10"/>
    </row>
    <row r="331" spans="1:7" ht="15" customHeight="1" x14ac:dyDescent="0.25">
      <c r="A331" t="str">
        <f>IFERROR(VLOOKUP(Tabela15[[#This Row],[Produto]],[1]Planilha1!$K$3:$N$300,4,0),"NÃO")</f>
        <v>NÃO</v>
      </c>
      <c r="B331" s="7">
        <v>551</v>
      </c>
      <c r="C331" s="7" t="s">
        <v>359</v>
      </c>
      <c r="D331" s="7" t="s">
        <v>83</v>
      </c>
      <c r="E331" s="7" t="s">
        <v>350</v>
      </c>
      <c r="F331" s="15">
        <f>[2]!Tabela15[[#This Row],[Preço PIS/Cofins/ICMS]]*1.1</f>
        <v>3.6739999999999999</v>
      </c>
      <c r="G331" s="10"/>
    </row>
    <row r="332" spans="1:7" ht="15" customHeight="1" x14ac:dyDescent="0.25">
      <c r="A332" t="str">
        <f>IFERROR(VLOOKUP(Tabela15[[#This Row],[Produto]],[1]Planilha1!$K$3:$N$300,4,0),"NÃO")</f>
        <v>NÃO</v>
      </c>
      <c r="B332" s="7">
        <v>552</v>
      </c>
      <c r="C332" s="7" t="s">
        <v>360</v>
      </c>
      <c r="D332" s="7" t="s">
        <v>83</v>
      </c>
      <c r="E332" s="7" t="s">
        <v>350</v>
      </c>
      <c r="F332" s="15">
        <f>[2]!Tabela15[[#This Row],[Preço PIS/Cofins/ICMS]]*1.1</f>
        <v>7.9200000000000008</v>
      </c>
      <c r="G332" s="10"/>
    </row>
    <row r="333" spans="1:7" ht="15" customHeight="1" x14ac:dyDescent="0.25">
      <c r="A333" t="str">
        <f>IFERROR(VLOOKUP(Tabela15[[#This Row],[Produto]],[1]Planilha1!$K$3:$N$300,4,0),"NÃO")</f>
        <v>NÃO</v>
      </c>
      <c r="B333" s="7">
        <v>553</v>
      </c>
      <c r="C333" s="7" t="s">
        <v>361</v>
      </c>
      <c r="D333" s="7" t="s">
        <v>83</v>
      </c>
      <c r="E333" s="7" t="s">
        <v>350</v>
      </c>
      <c r="F333" s="15">
        <f>[2]!Tabela15[[#This Row],[Preço PIS/Cofins/ICMS]]*1.1</f>
        <v>13.97</v>
      </c>
      <c r="G333" s="10"/>
    </row>
    <row r="334" spans="1:7" ht="15" customHeight="1" x14ac:dyDescent="0.25">
      <c r="A334" t="str">
        <f>IFERROR(VLOOKUP(Tabela15[[#This Row],[Produto]],[1]Planilha1!$K$3:$N$300,4,0),"NÃO")</f>
        <v>NÃO</v>
      </c>
      <c r="B334" s="7">
        <v>554</v>
      </c>
      <c r="C334" s="7" t="s">
        <v>362</v>
      </c>
      <c r="D334" s="7" t="s">
        <v>83</v>
      </c>
      <c r="E334" s="7" t="s">
        <v>350</v>
      </c>
      <c r="F334" s="15">
        <f>[2]!Tabela15[[#This Row],[Preço PIS/Cofins/ICMS]]*1.1</f>
        <v>22.55</v>
      </c>
      <c r="G334" s="10"/>
    </row>
    <row r="335" spans="1:7" ht="15" customHeight="1" x14ac:dyDescent="0.25">
      <c r="A335" t="str">
        <f>IFERROR(VLOOKUP(Tabela15[[#This Row],[Produto]],[1]Planilha1!$K$3:$N$300,4,0),"NÃO")</f>
        <v>NÃO</v>
      </c>
      <c r="B335" s="7">
        <v>555</v>
      </c>
      <c r="C335" s="7" t="s">
        <v>363</v>
      </c>
      <c r="D335" s="7" t="s">
        <v>83</v>
      </c>
      <c r="E335" s="7" t="s">
        <v>350</v>
      </c>
      <c r="F335" s="15">
        <f>[2]!Tabela15[[#This Row],[Preço PIS/Cofins/ICMS]]*1.1</f>
        <v>22.429000000000002</v>
      </c>
      <c r="G335" s="10"/>
    </row>
    <row r="336" spans="1:7" ht="15" customHeight="1" x14ac:dyDescent="0.25">
      <c r="A336" t="str">
        <f>IFERROR(VLOOKUP(Tabela15[[#This Row],[Produto]],[1]Planilha1!$K$3:$N$300,4,0),"NÃO")</f>
        <v>NÃO</v>
      </c>
      <c r="B336" s="7">
        <v>556</v>
      </c>
      <c r="C336" s="7" t="s">
        <v>364</v>
      </c>
      <c r="D336" s="7" t="s">
        <v>83</v>
      </c>
      <c r="E336" s="7" t="s">
        <v>350</v>
      </c>
      <c r="F336" s="15">
        <f>[2]!Tabela15[[#This Row],[Preço PIS/Cofins/ICMS]]*1.1</f>
        <v>31.053000000000004</v>
      </c>
      <c r="G336" s="10"/>
    </row>
    <row r="337" spans="1:7" ht="15" customHeight="1" x14ac:dyDescent="0.25">
      <c r="A337" t="str">
        <f>IFERROR(VLOOKUP(Tabela15[[#This Row],[Produto]],[1]Planilha1!$K$3:$N$300,4,0),"NÃO")</f>
        <v>NÃO</v>
      </c>
      <c r="B337" s="7">
        <v>557</v>
      </c>
      <c r="C337" s="7" t="s">
        <v>365</v>
      </c>
      <c r="D337" s="7" t="s">
        <v>83</v>
      </c>
      <c r="E337" s="7" t="s">
        <v>350</v>
      </c>
      <c r="F337" s="15">
        <f>[2]!Tabela15[[#This Row],[Preço PIS/Cofins/ICMS]]*1.1</f>
        <v>115.44500000000001</v>
      </c>
      <c r="G337" s="10"/>
    </row>
    <row r="338" spans="1:7" ht="15" customHeight="1" x14ac:dyDescent="0.25">
      <c r="A338" t="str">
        <f>IFERROR(VLOOKUP(Tabela15[[#This Row],[Produto]],[1]Planilha1!$K$3:$N$300,4,0),"NÃO")</f>
        <v>NÃO</v>
      </c>
      <c r="B338" s="7">
        <v>558</v>
      </c>
      <c r="C338" s="7" t="s">
        <v>366</v>
      </c>
      <c r="D338" s="7" t="s">
        <v>83</v>
      </c>
      <c r="E338" s="7" t="s">
        <v>350</v>
      </c>
      <c r="F338" s="15">
        <f>[2]!Tabela15[[#This Row],[Preço PIS/Cofins/ICMS]]*1.1</f>
        <v>179.23400000000001</v>
      </c>
      <c r="G338" s="10"/>
    </row>
    <row r="339" spans="1:7" ht="15" customHeight="1" x14ac:dyDescent="0.25">
      <c r="A339" t="str">
        <f>IFERROR(VLOOKUP(Tabela15[[#This Row],[Produto]],[1]Planilha1!$K$3:$N$300,4,0),"NÃO")</f>
        <v>NÃO</v>
      </c>
      <c r="B339" s="7">
        <v>559</v>
      </c>
      <c r="C339" s="7" t="s">
        <v>367</v>
      </c>
      <c r="D339" s="7" t="s">
        <v>83</v>
      </c>
      <c r="E339" s="7" t="s">
        <v>350</v>
      </c>
      <c r="F339" s="15">
        <f>[2]!Tabela15[[#This Row],[Preço PIS/Cofins/ICMS]]*1.1</f>
        <v>290.79600000000005</v>
      </c>
      <c r="G339" s="10"/>
    </row>
    <row r="340" spans="1:7" ht="15" customHeight="1" x14ac:dyDescent="0.25">
      <c r="A340" t="str">
        <f>IFERROR(VLOOKUP(Tabela15[[#This Row],[Produto]],[1]Planilha1!$K$3:$N$300,4,0),"NÃO")</f>
        <v>NÃO</v>
      </c>
      <c r="B340" s="7">
        <v>561</v>
      </c>
      <c r="C340" s="7" t="s">
        <v>368</v>
      </c>
      <c r="D340" s="7" t="s">
        <v>83</v>
      </c>
      <c r="E340" s="7" t="s">
        <v>369</v>
      </c>
      <c r="F340" s="15">
        <f>[2]!Tabela15[[#This Row],[Preço PIS/Cofins/ICMS]]*1.1</f>
        <v>8.5250000000000004</v>
      </c>
      <c r="G340" s="10"/>
    </row>
    <row r="341" spans="1:7" ht="15" customHeight="1" x14ac:dyDescent="0.25">
      <c r="A341" t="str">
        <f>IFERROR(VLOOKUP(Tabela15[[#This Row],[Produto]],[1]Planilha1!$K$3:$N$300,4,0),"NÃO")</f>
        <v>NÃO</v>
      </c>
      <c r="B341" s="7">
        <v>562</v>
      </c>
      <c r="C341" s="7" t="s">
        <v>370</v>
      </c>
      <c r="D341" s="7" t="s">
        <v>83</v>
      </c>
      <c r="E341" s="7" t="s">
        <v>369</v>
      </c>
      <c r="F341" s="15">
        <f>[2]!Tabela15[[#This Row],[Preço PIS/Cofins/ICMS]]*1.1</f>
        <v>11.22</v>
      </c>
      <c r="G341" s="10"/>
    </row>
    <row r="342" spans="1:7" ht="15" customHeight="1" x14ac:dyDescent="0.25">
      <c r="A342" t="str">
        <f>IFERROR(VLOOKUP(Tabela15[[#This Row],[Produto]],[1]Planilha1!$K$3:$N$300,4,0),"NÃO")</f>
        <v>NÃO</v>
      </c>
      <c r="B342" s="7">
        <v>563</v>
      </c>
      <c r="C342" s="7" t="s">
        <v>371</v>
      </c>
      <c r="D342" s="7" t="s">
        <v>83</v>
      </c>
      <c r="E342" s="7" t="s">
        <v>369</v>
      </c>
      <c r="F342" s="15">
        <f>[2]!Tabela15[[#This Row],[Preço PIS/Cofins/ICMS]]*1.1</f>
        <v>19.932000000000002</v>
      </c>
      <c r="G342" s="10"/>
    </row>
    <row r="343" spans="1:7" ht="15" customHeight="1" x14ac:dyDescent="0.25">
      <c r="A343" t="str">
        <f>IFERROR(VLOOKUP(Tabela15[[#This Row],[Produto]],[1]Planilha1!$K$3:$N$300,4,0),"NÃO")</f>
        <v>NÃO</v>
      </c>
      <c r="B343" s="7">
        <v>564</v>
      </c>
      <c r="C343" s="7" t="s">
        <v>372</v>
      </c>
      <c r="D343" s="7" t="s">
        <v>83</v>
      </c>
      <c r="E343" s="7" t="s">
        <v>369</v>
      </c>
      <c r="F343" s="15">
        <f>[2]!Tabela15[[#This Row],[Preço PIS/Cofins/ICMS]]*1.1</f>
        <v>25.905000000000001</v>
      </c>
      <c r="G343" s="10"/>
    </row>
    <row r="344" spans="1:7" ht="15" customHeight="1" x14ac:dyDescent="0.25">
      <c r="A344" t="str">
        <f>IFERROR(VLOOKUP(Tabela15[[#This Row],[Produto]],[1]Planilha1!$K$3:$N$300,4,0),"NÃO")</f>
        <v>NÃO</v>
      </c>
      <c r="B344" s="7">
        <v>565</v>
      </c>
      <c r="C344" s="7" t="s">
        <v>373</v>
      </c>
      <c r="D344" s="7" t="s">
        <v>83</v>
      </c>
      <c r="E344" s="7" t="s">
        <v>369</v>
      </c>
      <c r="F344" s="15">
        <f>[2]!Tabela15[[#This Row],[Preço PIS/Cofins/ICMS]]*1.1</f>
        <v>21.373000000000001</v>
      </c>
      <c r="G344" s="10"/>
    </row>
    <row r="345" spans="1:7" ht="15" customHeight="1" x14ac:dyDescent="0.25">
      <c r="A345" t="str">
        <f>IFERROR(VLOOKUP(Tabela15[[#This Row],[Produto]],[1]Planilha1!$K$3:$N$300,4,0),"NÃO")</f>
        <v>NÃO</v>
      </c>
      <c r="B345" s="7">
        <v>566</v>
      </c>
      <c r="C345" s="7" t="s">
        <v>374</v>
      </c>
      <c r="D345" s="7" t="s">
        <v>83</v>
      </c>
      <c r="E345" s="7" t="s">
        <v>369</v>
      </c>
      <c r="F345" s="15">
        <f>[2]!Tabela15[[#This Row],[Preço PIS/Cofins/ICMS]]*1.1</f>
        <v>54.593000000000011</v>
      </c>
      <c r="G345" s="10"/>
    </row>
    <row r="346" spans="1:7" ht="15" customHeight="1" x14ac:dyDescent="0.25">
      <c r="A346" t="str">
        <f>IFERROR(VLOOKUP(Tabela15[[#This Row],[Produto]],[1]Planilha1!$K$3:$N$300,4,0),"NÃO")</f>
        <v>NÃO</v>
      </c>
      <c r="B346" s="7">
        <v>567</v>
      </c>
      <c r="C346" s="7" t="s">
        <v>375</v>
      </c>
      <c r="D346" s="7" t="s">
        <v>83</v>
      </c>
      <c r="E346" s="7" t="s">
        <v>376</v>
      </c>
      <c r="F346" s="15">
        <f>[2]!Tabela15[[#This Row],[Preço PIS/Cofins/ICMS]]*1.1</f>
        <v>15.224</v>
      </c>
      <c r="G346" s="10"/>
    </row>
    <row r="347" spans="1:7" ht="15" customHeight="1" x14ac:dyDescent="0.25">
      <c r="A347" t="str">
        <f>IFERROR(VLOOKUP(Tabela15[[#This Row],[Produto]],[1]Planilha1!$K$3:$N$300,4,0),"NÃO")</f>
        <v>NÃO</v>
      </c>
      <c r="B347" s="7">
        <v>568</v>
      </c>
      <c r="C347" s="7" t="s">
        <v>377</v>
      </c>
      <c r="D347" s="7" t="s">
        <v>83</v>
      </c>
      <c r="E347" s="7" t="s">
        <v>376</v>
      </c>
      <c r="F347" s="15">
        <f>[2]!Tabela15[[#This Row],[Preço PIS/Cofins/ICMS]]*1.1</f>
        <v>15.422000000000001</v>
      </c>
      <c r="G347" s="10"/>
    </row>
    <row r="348" spans="1:7" ht="15" customHeight="1" x14ac:dyDescent="0.25">
      <c r="A348" t="str">
        <f>IFERROR(VLOOKUP(Tabela15[[#This Row],[Produto]],[1]Planilha1!$K$3:$N$300,4,0),"NÃO")</f>
        <v>NÃO</v>
      </c>
      <c r="B348" s="7">
        <v>569</v>
      </c>
      <c r="C348" s="7" t="s">
        <v>378</v>
      </c>
      <c r="D348" s="7" t="s">
        <v>83</v>
      </c>
      <c r="E348" s="7" t="s">
        <v>376</v>
      </c>
      <c r="F348" s="15">
        <f>[2]!Tabela15[[#This Row],[Preço PIS/Cofins/ICMS]]*1.1</f>
        <v>13.453000000000001</v>
      </c>
      <c r="G348" s="10"/>
    </row>
    <row r="349" spans="1:7" ht="15" customHeight="1" x14ac:dyDescent="0.25">
      <c r="A349" t="str">
        <f>IFERROR(VLOOKUP(Tabela15[[#This Row],[Produto]],[1]Planilha1!$K$3:$N$300,4,0),"NÃO")</f>
        <v>NÃO</v>
      </c>
      <c r="B349" s="7">
        <v>570</v>
      </c>
      <c r="C349" s="7" t="s">
        <v>379</v>
      </c>
      <c r="D349" s="7" t="s">
        <v>83</v>
      </c>
      <c r="E349" s="7" t="s">
        <v>369</v>
      </c>
      <c r="F349" s="15">
        <f>[2]!Tabela15[[#This Row],[Preço PIS/Cofins/ICMS]]*1.1</f>
        <v>9.5040000000000013</v>
      </c>
      <c r="G349" s="10"/>
    </row>
    <row r="350" spans="1:7" ht="15" customHeight="1" x14ac:dyDescent="0.25">
      <c r="A350" t="str">
        <f>IFERROR(VLOOKUP(Tabela15[[#This Row],[Produto]],[1]Planilha1!$K$3:$N$300,4,0),"NÃO")</f>
        <v>NÃO</v>
      </c>
      <c r="B350" s="7">
        <v>571</v>
      </c>
      <c r="C350" s="7" t="s">
        <v>380</v>
      </c>
      <c r="D350" s="7" t="s">
        <v>83</v>
      </c>
      <c r="E350" s="7" t="s">
        <v>369</v>
      </c>
      <c r="F350" s="15">
        <f>[2]!Tabela15[[#This Row],[Preço PIS/Cofins/ICMS]]*1.1</f>
        <v>10.868000000000002</v>
      </c>
      <c r="G350" s="10"/>
    </row>
    <row r="351" spans="1:7" ht="15" customHeight="1" x14ac:dyDescent="0.25">
      <c r="A351" t="str">
        <f>IFERROR(VLOOKUP(Tabela15[[#This Row],[Produto]],[1]Planilha1!$K$3:$N$300,4,0),"NÃO")</f>
        <v>NÃO</v>
      </c>
      <c r="B351" s="7">
        <v>572</v>
      </c>
      <c r="C351" s="7" t="s">
        <v>381</v>
      </c>
      <c r="D351" s="7" t="s">
        <v>83</v>
      </c>
      <c r="E351" s="7" t="s">
        <v>369</v>
      </c>
      <c r="F351" s="15">
        <f>[2]!Tabela15[[#This Row],[Preço PIS/Cofins/ICMS]]*1.1</f>
        <v>18.084000000000003</v>
      </c>
      <c r="G351" s="10"/>
    </row>
    <row r="352" spans="1:7" ht="15" customHeight="1" x14ac:dyDescent="0.25">
      <c r="A352" t="str">
        <f>IFERROR(VLOOKUP(Tabela15[[#This Row],[Produto]],[1]Planilha1!$K$3:$N$300,4,0),"NÃO")</f>
        <v>NÃO</v>
      </c>
      <c r="B352" s="7">
        <v>573</v>
      </c>
      <c r="C352" s="7" t="s">
        <v>382</v>
      </c>
      <c r="D352" s="7" t="s">
        <v>83</v>
      </c>
      <c r="E352" s="7" t="s">
        <v>369</v>
      </c>
      <c r="F352" s="15">
        <f>[2]!Tabela15[[#This Row],[Preço PIS/Cofins/ICMS]]*1.1</f>
        <v>32.461000000000006</v>
      </c>
      <c r="G352" s="10"/>
    </row>
    <row r="353" spans="1:7" ht="15" customHeight="1" x14ac:dyDescent="0.25">
      <c r="A353" t="str">
        <f>IFERROR(VLOOKUP(Tabela15[[#This Row],[Produto]],[1]Planilha1!$K$3:$N$300,4,0),"NÃO")</f>
        <v>NÃO</v>
      </c>
      <c r="B353" s="7">
        <v>574</v>
      </c>
      <c r="C353" s="7" t="s">
        <v>383</v>
      </c>
      <c r="D353" s="7" t="s">
        <v>83</v>
      </c>
      <c r="E353" s="7" t="s">
        <v>369</v>
      </c>
      <c r="F353" s="15">
        <f>[2]!Tabela15[[#This Row],[Preço PIS/Cofins/ICMS]]*1.1</f>
        <v>27.984000000000005</v>
      </c>
      <c r="G353" s="10"/>
    </row>
    <row r="354" spans="1:7" ht="15" customHeight="1" x14ac:dyDescent="0.25">
      <c r="A354" t="str">
        <f>IFERROR(VLOOKUP(Tabela15[[#This Row],[Produto]],[1]Planilha1!$K$3:$N$300,4,0),"NÃO")</f>
        <v>NÃO</v>
      </c>
      <c r="B354" s="7">
        <v>575</v>
      </c>
      <c r="C354" s="7" t="s">
        <v>384</v>
      </c>
      <c r="D354" s="7" t="s">
        <v>83</v>
      </c>
      <c r="E354" s="7" t="s">
        <v>369</v>
      </c>
      <c r="F354" s="15">
        <f>[2]!Tabela15[[#This Row],[Preço PIS/Cofins/ICMS]]*1.1</f>
        <v>47.729000000000006</v>
      </c>
      <c r="G354" s="10"/>
    </row>
    <row r="355" spans="1:7" ht="15" customHeight="1" x14ac:dyDescent="0.25">
      <c r="A355" t="str">
        <f>IFERROR(VLOOKUP(Tabela15[[#This Row],[Produto]],[1]Planilha1!$K$3:$N$300,4,0),"NÃO")</f>
        <v>NÃO</v>
      </c>
      <c r="B355" s="7">
        <v>577</v>
      </c>
      <c r="C355" s="7" t="s">
        <v>385</v>
      </c>
      <c r="D355" s="7" t="s">
        <v>83</v>
      </c>
      <c r="E355" s="7" t="s">
        <v>386</v>
      </c>
      <c r="F355" s="15">
        <f>[2]!Tabela15[[#This Row],[Preço PIS/Cofins/ICMS]]*1.1</f>
        <v>12.782</v>
      </c>
      <c r="G355" s="10"/>
    </row>
    <row r="356" spans="1:7" ht="15" customHeight="1" x14ac:dyDescent="0.25">
      <c r="A356" t="str">
        <f>IFERROR(VLOOKUP(Tabela15[[#This Row],[Produto]],[1]Planilha1!$K$3:$N$300,4,0),"NÃO")</f>
        <v>NÃO</v>
      </c>
      <c r="B356" s="7">
        <v>578</v>
      </c>
      <c r="C356" s="7" t="s">
        <v>387</v>
      </c>
      <c r="D356" s="7" t="s">
        <v>83</v>
      </c>
      <c r="E356" s="7" t="s">
        <v>386</v>
      </c>
      <c r="F356" s="15">
        <f>[2]!Tabela15[[#This Row],[Preço PIS/Cofins/ICMS]]*1.1</f>
        <v>14.916000000000002</v>
      </c>
      <c r="G356" s="10"/>
    </row>
    <row r="357" spans="1:7" ht="15" customHeight="1" x14ac:dyDescent="0.25">
      <c r="A357" t="str">
        <f>IFERROR(VLOOKUP(Tabela15[[#This Row],[Produto]],[1]Planilha1!$K$3:$N$300,4,0),"NÃO")</f>
        <v>NÃO</v>
      </c>
      <c r="B357" s="7">
        <v>581</v>
      </c>
      <c r="C357" s="7" t="s">
        <v>388</v>
      </c>
      <c r="D357" s="7" t="s">
        <v>83</v>
      </c>
      <c r="E357" s="7" t="s">
        <v>376</v>
      </c>
      <c r="F357" s="15">
        <f>[2]!Tabela15[[#This Row],[Preço PIS/Cofins/ICMS]]*1.1</f>
        <v>15.224</v>
      </c>
      <c r="G357" s="10"/>
    </row>
    <row r="358" spans="1:7" ht="15" customHeight="1" x14ac:dyDescent="0.25">
      <c r="A358" t="str">
        <f>IFERROR(VLOOKUP(Tabela15[[#This Row],[Produto]],[1]Planilha1!$K$3:$N$300,4,0),"NÃO")</f>
        <v>NÃO</v>
      </c>
      <c r="B358" s="7">
        <v>582</v>
      </c>
      <c r="C358" s="7" t="s">
        <v>389</v>
      </c>
      <c r="D358" s="7" t="s">
        <v>83</v>
      </c>
      <c r="E358" s="7" t="s">
        <v>376</v>
      </c>
      <c r="F358" s="15">
        <f>[2]!Tabela15[[#This Row],[Preço PIS/Cofins/ICMS]]*1.1</f>
        <v>12.749000000000001</v>
      </c>
      <c r="G358" s="10"/>
    </row>
    <row r="359" spans="1:7" ht="15" customHeight="1" x14ac:dyDescent="0.25">
      <c r="A359" t="str">
        <f>IFERROR(VLOOKUP(Tabela15[[#This Row],[Produto]],[1]Planilha1!$K$3:$N$300,4,0),"NÃO")</f>
        <v>NÃO</v>
      </c>
      <c r="B359" s="7">
        <v>583</v>
      </c>
      <c r="C359" s="7" t="s">
        <v>390</v>
      </c>
      <c r="D359" s="7" t="s">
        <v>83</v>
      </c>
      <c r="E359" s="7" t="s">
        <v>376</v>
      </c>
      <c r="F359" s="15">
        <f>[2]!Tabela15[[#This Row],[Preço PIS/Cofins/ICMS]]*1.1</f>
        <v>7.3920000000000003</v>
      </c>
      <c r="G359" s="10"/>
    </row>
    <row r="360" spans="1:7" ht="15" customHeight="1" x14ac:dyDescent="0.25">
      <c r="A360" t="str">
        <f>IFERROR(VLOOKUP(Tabela15[[#This Row],[Produto]],[1]Planilha1!$K$3:$N$300,4,0),"NÃO")</f>
        <v>NÃO</v>
      </c>
      <c r="B360" s="7">
        <v>584</v>
      </c>
      <c r="C360" s="7" t="s">
        <v>391</v>
      </c>
      <c r="D360" s="7" t="s">
        <v>83</v>
      </c>
      <c r="E360" s="7" t="s">
        <v>376</v>
      </c>
      <c r="F360" s="15">
        <f>[2]!Tabela15[[#This Row],[Preço PIS/Cofins/ICMS]]*1.1</f>
        <v>9.02</v>
      </c>
      <c r="G360" s="10"/>
    </row>
    <row r="361" spans="1:7" ht="15" customHeight="1" x14ac:dyDescent="0.25">
      <c r="A361" t="str">
        <f>IFERROR(VLOOKUP(Tabela15[[#This Row],[Produto]],[1]Planilha1!$K$3:$N$300,4,0),"NÃO")</f>
        <v>NÃO</v>
      </c>
      <c r="B361" s="7">
        <v>585</v>
      </c>
      <c r="C361" s="7" t="s">
        <v>392</v>
      </c>
      <c r="D361" s="7" t="s">
        <v>83</v>
      </c>
      <c r="E361" s="7" t="s">
        <v>376</v>
      </c>
      <c r="F361" s="15">
        <f>[2]!Tabela15[[#This Row],[Preço PIS/Cofins/ICMS]]*1.1</f>
        <v>9.2729999999999997</v>
      </c>
      <c r="G361" s="10"/>
    </row>
    <row r="362" spans="1:7" ht="15" customHeight="1" x14ac:dyDescent="0.25">
      <c r="A362" t="str">
        <f>IFERROR(VLOOKUP(Tabela15[[#This Row],[Produto]],[1]Planilha1!$K$3:$N$300,4,0),"NÃO")</f>
        <v>NÃO</v>
      </c>
      <c r="B362" s="7">
        <v>587</v>
      </c>
      <c r="C362" s="7" t="s">
        <v>393</v>
      </c>
      <c r="D362" s="7" t="s">
        <v>83</v>
      </c>
      <c r="E362" s="7" t="s">
        <v>175</v>
      </c>
      <c r="F362" s="15">
        <f>[2]!Tabela15[[#This Row],[Preço PIS/Cofins/ICMS]]*1.1</f>
        <v>7.9090000000000007</v>
      </c>
      <c r="G362" s="10"/>
    </row>
    <row r="363" spans="1:7" ht="15" customHeight="1" x14ac:dyDescent="0.25">
      <c r="A363" t="str">
        <f>IFERROR(VLOOKUP(Tabela15[[#This Row],[Produto]],[1]Planilha1!$K$3:$N$300,4,0),"NÃO")</f>
        <v>NÃO</v>
      </c>
      <c r="B363" s="7">
        <v>588</v>
      </c>
      <c r="C363" s="7" t="s">
        <v>394</v>
      </c>
      <c r="D363" s="7" t="s">
        <v>83</v>
      </c>
      <c r="E363" s="7" t="s">
        <v>175</v>
      </c>
      <c r="F363" s="15">
        <f>[2]!Tabela15[[#This Row],[Preço PIS/Cofins/ICMS]]*1.1</f>
        <v>16.071000000000002</v>
      </c>
      <c r="G363" s="10"/>
    </row>
    <row r="364" spans="1:7" ht="15" customHeight="1" x14ac:dyDescent="0.25">
      <c r="A364" t="str">
        <f>IFERROR(VLOOKUP(Tabela15[[#This Row],[Produto]],[1]Planilha1!$K$3:$N$300,4,0),"NÃO")</f>
        <v>NÃO</v>
      </c>
      <c r="B364" s="7">
        <v>589</v>
      </c>
      <c r="C364" s="7" t="s">
        <v>395</v>
      </c>
      <c r="D364" s="7" t="s">
        <v>83</v>
      </c>
      <c r="E364" s="7" t="s">
        <v>175</v>
      </c>
      <c r="F364" s="15">
        <f>[2]!Tabela15[[#This Row],[Preço PIS/Cofins/ICMS]]*1.1</f>
        <v>26.862000000000005</v>
      </c>
      <c r="G364" s="10"/>
    </row>
    <row r="365" spans="1:7" ht="15" customHeight="1" x14ac:dyDescent="0.25">
      <c r="A365" t="str">
        <f>IFERROR(VLOOKUP(Tabela15[[#This Row],[Produto]],[1]Planilha1!$K$3:$N$300,4,0),"NÃO")</f>
        <v>NÃO</v>
      </c>
      <c r="B365" s="7">
        <v>592</v>
      </c>
      <c r="C365" s="7" t="s">
        <v>396</v>
      </c>
      <c r="D365" s="7" t="s">
        <v>83</v>
      </c>
      <c r="E365" s="7" t="s">
        <v>397</v>
      </c>
      <c r="F365" s="15">
        <f>[2]!Tabela15[[#This Row],[Preço PIS/Cofins/ICMS]]*1.1</f>
        <v>1.1550000000000002</v>
      </c>
      <c r="G365" s="10"/>
    </row>
    <row r="366" spans="1:7" ht="15" customHeight="1" x14ac:dyDescent="0.25">
      <c r="A366" t="str">
        <f>IFERROR(VLOOKUP(Tabela15[[#This Row],[Produto]],[1]Planilha1!$K$3:$N$300,4,0),"NÃO")</f>
        <v>NÃO</v>
      </c>
      <c r="B366" s="7">
        <v>593</v>
      </c>
      <c r="C366" s="7" t="s">
        <v>398</v>
      </c>
      <c r="D366" s="7" t="s">
        <v>83</v>
      </c>
      <c r="E366" s="7" t="s">
        <v>397</v>
      </c>
      <c r="F366" s="15">
        <f>[2]!Tabela15[[#This Row],[Preço PIS/Cofins/ICMS]]*1.1</f>
        <v>0.66</v>
      </c>
      <c r="G366" s="10"/>
    </row>
    <row r="367" spans="1:7" ht="15" customHeight="1" x14ac:dyDescent="0.25">
      <c r="A367" t="str">
        <f>IFERROR(VLOOKUP(Tabela15[[#This Row],[Produto]],[1]Planilha1!$K$3:$N$300,4,0),"NÃO")</f>
        <v>NÃO</v>
      </c>
      <c r="B367" s="7">
        <v>594</v>
      </c>
      <c r="C367" s="7" t="s">
        <v>399</v>
      </c>
      <c r="D367" s="7" t="s">
        <v>83</v>
      </c>
      <c r="E367" s="7" t="s">
        <v>400</v>
      </c>
      <c r="F367" s="15">
        <f>[2]!Tabela15[[#This Row],[Preço PIS/Cofins/ICMS]]*1.1</f>
        <v>2.4970000000000003</v>
      </c>
      <c r="G367" s="10"/>
    </row>
    <row r="368" spans="1:7" ht="15" customHeight="1" x14ac:dyDescent="0.25">
      <c r="A368" t="str">
        <f>IFERROR(VLOOKUP(Tabela15[[#This Row],[Produto]],[1]Planilha1!$K$3:$N$300,4,0),"NÃO")</f>
        <v>NÃO</v>
      </c>
      <c r="B368" s="7">
        <v>595</v>
      </c>
      <c r="C368" s="7" t="s">
        <v>401</v>
      </c>
      <c r="D368" s="7" t="s">
        <v>83</v>
      </c>
      <c r="E368" s="7" t="s">
        <v>400</v>
      </c>
      <c r="F368" s="15">
        <f>[2]!Tabela15[[#This Row],[Preço PIS/Cofins/ICMS]]*1.1</f>
        <v>3.4430000000000001</v>
      </c>
      <c r="G368" s="10"/>
    </row>
    <row r="369" spans="1:7" ht="15" customHeight="1" x14ac:dyDescent="0.25">
      <c r="A369" t="str">
        <f>IFERROR(VLOOKUP(Tabela15[[#This Row],[Produto]],[1]Planilha1!$K$3:$N$300,4,0),"NÃO")</f>
        <v>NÃO</v>
      </c>
      <c r="B369" s="7">
        <v>596</v>
      </c>
      <c r="C369" s="7" t="s">
        <v>402</v>
      </c>
      <c r="D369" s="7" t="s">
        <v>83</v>
      </c>
      <c r="E369" s="7" t="s">
        <v>400</v>
      </c>
      <c r="F369" s="15">
        <v>4.0199999999999996</v>
      </c>
      <c r="G369" s="10"/>
    </row>
    <row r="370" spans="1:7" ht="15" customHeight="1" x14ac:dyDescent="0.25">
      <c r="A370" t="str">
        <f>IFERROR(VLOOKUP(Tabela15[[#This Row],[Produto]],[1]Planilha1!$K$3:$N$300,4,0),"NÃO")</f>
        <v>NÃO</v>
      </c>
      <c r="B370" s="7">
        <v>597</v>
      </c>
      <c r="C370" s="7" t="s">
        <v>403</v>
      </c>
      <c r="D370" s="7" t="s">
        <v>83</v>
      </c>
      <c r="E370" s="7" t="s">
        <v>404</v>
      </c>
      <c r="F370" s="15">
        <f>[2]!Tabela15[[#This Row],[Preço PIS/Cofins/ICMS]]*1.1</f>
        <v>11.209</v>
      </c>
      <c r="G370" s="10"/>
    </row>
    <row r="371" spans="1:7" ht="15" customHeight="1" x14ac:dyDescent="0.25">
      <c r="A371" t="str">
        <f>IFERROR(VLOOKUP(Tabela15[[#This Row],[Produto]],[1]Planilha1!$K$3:$N$300,4,0),"NÃO")</f>
        <v>NÃO</v>
      </c>
      <c r="B371" s="7">
        <v>598</v>
      </c>
      <c r="C371" s="7" t="s">
        <v>405</v>
      </c>
      <c r="D371" s="7" t="s">
        <v>83</v>
      </c>
      <c r="E371" s="7" t="s">
        <v>404</v>
      </c>
      <c r="F371" s="15">
        <f>[2]!Tabela15[[#This Row],[Preço PIS/Cofins/ICMS]]*1.1</f>
        <v>80.861000000000018</v>
      </c>
      <c r="G371" s="10"/>
    </row>
    <row r="372" spans="1:7" ht="15" customHeight="1" x14ac:dyDescent="0.25">
      <c r="A372" t="str">
        <f>IFERROR(VLOOKUP(Tabela15[[#This Row],[Produto]],[1]Planilha1!$K$3:$N$300,4,0),"NÃO")</f>
        <v>NÃO</v>
      </c>
      <c r="B372" s="7">
        <v>599</v>
      </c>
      <c r="C372" s="7" t="s">
        <v>406</v>
      </c>
      <c r="D372" s="7" t="s">
        <v>83</v>
      </c>
      <c r="E372" s="7" t="s">
        <v>397</v>
      </c>
      <c r="F372" s="15">
        <f>[2]!Tabela15[[#This Row],[Preço PIS/Cofins/ICMS]]*1.1</f>
        <v>2.8160000000000003</v>
      </c>
      <c r="G372" s="10"/>
    </row>
    <row r="373" spans="1:7" ht="15" customHeight="1" x14ac:dyDescent="0.25">
      <c r="A373" t="str">
        <f>IFERROR(VLOOKUP(Tabela15[[#This Row],[Produto]],[1]Planilha1!$K$3:$N$300,4,0),"NÃO")</f>
        <v>NÃO</v>
      </c>
      <c r="B373" s="7">
        <v>600</v>
      </c>
      <c r="C373" s="7" t="s">
        <v>407</v>
      </c>
      <c r="D373" s="7" t="s">
        <v>83</v>
      </c>
      <c r="E373" s="7" t="s">
        <v>400</v>
      </c>
      <c r="F373" s="15">
        <f>[2]!Tabela15[[#This Row],[Preço PIS/Cofins/ICMS]]*1.1</f>
        <v>4.4550000000000001</v>
      </c>
      <c r="G373" s="10"/>
    </row>
    <row r="374" spans="1:7" ht="15" customHeight="1" x14ac:dyDescent="0.25">
      <c r="A374" t="str">
        <f>IFERROR(VLOOKUP(Tabela15[[#This Row],[Produto]],[1]Planilha1!$K$3:$N$300,4,0),"NÃO")</f>
        <v>NÃO</v>
      </c>
      <c r="B374" s="7">
        <v>601</v>
      </c>
      <c r="C374" s="7" t="s">
        <v>408</v>
      </c>
      <c r="D374" s="7" t="s">
        <v>83</v>
      </c>
      <c r="E374" s="7" t="s">
        <v>400</v>
      </c>
      <c r="F374" s="15">
        <f>[2]!Tabela15[[#This Row],[Preço PIS/Cofins/ICMS]]*1.1</f>
        <v>7.3150000000000013</v>
      </c>
      <c r="G374" s="10"/>
    </row>
    <row r="375" spans="1:7" ht="15" customHeight="1" x14ac:dyDescent="0.25">
      <c r="A375" t="str">
        <f>IFERROR(VLOOKUP(Tabela15[[#This Row],[Produto]],[1]Planilha1!$K$3:$N$300,4,0),"NÃO")</f>
        <v>NÃO</v>
      </c>
      <c r="B375" s="7">
        <v>602</v>
      </c>
      <c r="C375" s="7" t="s">
        <v>409</v>
      </c>
      <c r="D375" s="7" t="s">
        <v>83</v>
      </c>
      <c r="E375" s="7" t="s">
        <v>400</v>
      </c>
      <c r="F375" s="15">
        <f>[2]!Tabela15[[#This Row],[Preço PIS/Cofins/ICMS]]*1.1</f>
        <v>9.6579999999999995</v>
      </c>
      <c r="G375" s="10"/>
    </row>
    <row r="376" spans="1:7" ht="15" customHeight="1" x14ac:dyDescent="0.25">
      <c r="A376" t="str">
        <f>IFERROR(VLOOKUP(Tabela15[[#This Row],[Produto]],[1]Planilha1!$K$3:$N$300,4,0),"NÃO")</f>
        <v>NÃO</v>
      </c>
      <c r="B376" s="7">
        <v>606</v>
      </c>
      <c r="C376" s="7" t="s">
        <v>410</v>
      </c>
      <c r="D376" s="7" t="s">
        <v>83</v>
      </c>
      <c r="E376" s="7" t="s">
        <v>411</v>
      </c>
      <c r="F376" s="15">
        <f>[2]!Tabela15[[#This Row],[Preço PIS/Cofins/ICMS]]*1.1</f>
        <v>3.3220000000000005</v>
      </c>
      <c r="G376" s="10"/>
    </row>
    <row r="377" spans="1:7" ht="15" customHeight="1" x14ac:dyDescent="0.25">
      <c r="A377" t="str">
        <f>IFERROR(VLOOKUP(Tabela15[[#This Row],[Produto]],[1]Planilha1!$K$3:$N$300,4,0),"NÃO")</f>
        <v>NÃO</v>
      </c>
      <c r="B377" s="7">
        <v>607</v>
      </c>
      <c r="C377" s="7" t="s">
        <v>412</v>
      </c>
      <c r="D377" s="7" t="s">
        <v>83</v>
      </c>
      <c r="E377" s="7" t="s">
        <v>413</v>
      </c>
      <c r="F377" s="15">
        <f>[2]!Tabela15[[#This Row],[Preço PIS/Cofins/ICMS]]*1.1</f>
        <v>6.3250000000000002</v>
      </c>
      <c r="G377" s="10"/>
    </row>
    <row r="378" spans="1:7" ht="15" customHeight="1" x14ac:dyDescent="0.25">
      <c r="A378" t="str">
        <f>IFERROR(VLOOKUP(Tabela15[[#This Row],[Produto]],[1]Planilha1!$K$3:$N$300,4,0),"NÃO")</f>
        <v>NÃO</v>
      </c>
      <c r="B378" s="7">
        <v>608</v>
      </c>
      <c r="C378" s="7" t="s">
        <v>414</v>
      </c>
      <c r="D378" s="7" t="s">
        <v>83</v>
      </c>
      <c r="E378" s="7" t="s">
        <v>413</v>
      </c>
      <c r="F378" s="15">
        <f>[2]!Tabela15[[#This Row],[Preço PIS/Cofins/ICMS]]*1.1</f>
        <v>19.646000000000001</v>
      </c>
      <c r="G378" s="10"/>
    </row>
    <row r="379" spans="1:7" ht="15" customHeight="1" x14ac:dyDescent="0.25">
      <c r="A379" t="str">
        <f>IFERROR(VLOOKUP(Tabela15[[#This Row],[Produto]],[1]Planilha1!$K$3:$N$300,4,0),"NÃO")</f>
        <v>NÃO</v>
      </c>
      <c r="B379" s="7">
        <v>609</v>
      </c>
      <c r="C379" s="7" t="s">
        <v>415</v>
      </c>
      <c r="D379" s="7" t="s">
        <v>83</v>
      </c>
      <c r="E379" s="7" t="s">
        <v>413</v>
      </c>
      <c r="F379" s="15">
        <f>[2]!Tabela15[[#This Row],[Preço PIS/Cofins/ICMS]]*1.1</f>
        <v>31.119000000000003</v>
      </c>
      <c r="G379" s="10"/>
    </row>
    <row r="380" spans="1:7" ht="15" customHeight="1" x14ac:dyDescent="0.25">
      <c r="A380" t="str">
        <f>IFERROR(VLOOKUP(Tabela15[[#This Row],[Produto]],[1]Planilha1!$K$3:$N$300,4,0),"NÃO")</f>
        <v>NÃO</v>
      </c>
      <c r="B380" s="7">
        <v>610</v>
      </c>
      <c r="C380" s="7" t="s">
        <v>416</v>
      </c>
      <c r="D380" s="7" t="s">
        <v>83</v>
      </c>
      <c r="E380" s="7" t="s">
        <v>417</v>
      </c>
      <c r="F380" s="15">
        <f>[2]!Tabela15[[#This Row],[Preço PIS/Cofins/ICMS]]*1.1</f>
        <v>75.966000000000008</v>
      </c>
      <c r="G380" s="10"/>
    </row>
    <row r="381" spans="1:7" ht="15" customHeight="1" x14ac:dyDescent="0.25">
      <c r="A381" t="str">
        <f>IFERROR(VLOOKUP(Tabela15[[#This Row],[Produto]],[1]Planilha1!$K$3:$N$300,4,0),"NÃO")</f>
        <v>NÃO</v>
      </c>
      <c r="B381" s="7">
        <v>611</v>
      </c>
      <c r="C381" s="7" t="s">
        <v>418</v>
      </c>
      <c r="D381" s="7" t="s">
        <v>83</v>
      </c>
      <c r="E381" s="7" t="s">
        <v>397</v>
      </c>
      <c r="F381" s="15">
        <f>[2]!Tabela15[[#This Row],[Preço PIS/Cofins/ICMS]]*1.1</f>
        <v>0.9900000000000001</v>
      </c>
      <c r="G381" s="10"/>
    </row>
    <row r="382" spans="1:7" ht="15" customHeight="1" x14ac:dyDescent="0.25">
      <c r="A382" t="str">
        <f>IFERROR(VLOOKUP(Tabela15[[#This Row],[Produto]],[1]Planilha1!$K$3:$N$300,4,0),"NÃO")</f>
        <v>NÃO</v>
      </c>
      <c r="B382" s="7">
        <v>612</v>
      </c>
      <c r="C382" s="7" t="s">
        <v>419</v>
      </c>
      <c r="D382" s="7" t="s">
        <v>83</v>
      </c>
      <c r="E382" s="7" t="s">
        <v>400</v>
      </c>
      <c r="F382" s="15">
        <v>1.706</v>
      </c>
      <c r="G382" s="10"/>
    </row>
    <row r="383" spans="1:7" ht="15" customHeight="1" x14ac:dyDescent="0.25">
      <c r="A383" t="str">
        <f>IFERROR(VLOOKUP(Tabela15[[#This Row],[Produto]],[1]Planilha1!$K$3:$N$300,4,0),"NÃO")</f>
        <v>NÃO</v>
      </c>
      <c r="B383" s="7">
        <v>613</v>
      </c>
      <c r="C383" s="7" t="s">
        <v>420</v>
      </c>
      <c r="D383" s="7" t="s">
        <v>83</v>
      </c>
      <c r="E383" s="7" t="s">
        <v>400</v>
      </c>
      <c r="F383" s="15">
        <v>3.8980000000000001</v>
      </c>
      <c r="G383" s="10"/>
    </row>
    <row r="384" spans="1:7" ht="15" customHeight="1" x14ac:dyDescent="0.25">
      <c r="A384" t="str">
        <f>IFERROR(VLOOKUP(Tabela15[[#This Row],[Produto]],[1]Planilha1!$K$3:$N$300,4,0),"NÃO")</f>
        <v>NÃO</v>
      </c>
      <c r="B384" s="7">
        <v>614</v>
      </c>
      <c r="C384" s="7" t="s">
        <v>421</v>
      </c>
      <c r="D384" s="7" t="s">
        <v>83</v>
      </c>
      <c r="E384" s="7" t="s">
        <v>400</v>
      </c>
      <c r="F384" s="15">
        <v>4.008</v>
      </c>
      <c r="G384" s="10"/>
    </row>
    <row r="385" spans="1:7" ht="15" customHeight="1" x14ac:dyDescent="0.25">
      <c r="A385" t="str">
        <f>IFERROR(VLOOKUP(Tabela15[[#This Row],[Produto]],[1]Planilha1!$K$3:$N$300,4,0),"NÃO")</f>
        <v>NÃO</v>
      </c>
      <c r="B385" s="7">
        <v>615</v>
      </c>
      <c r="C385" s="7" t="s">
        <v>422</v>
      </c>
      <c r="D385" s="7" t="s">
        <v>83</v>
      </c>
      <c r="E385" s="7" t="s">
        <v>404</v>
      </c>
      <c r="F385" s="15">
        <f>[2]!Tabela15[[#This Row],[Preço PIS/Cofins/ICMS]]*1.1</f>
        <v>18.469000000000001</v>
      </c>
      <c r="G385" s="10"/>
    </row>
    <row r="386" spans="1:7" ht="15" customHeight="1" x14ac:dyDescent="0.25">
      <c r="A386" t="str">
        <f>IFERROR(VLOOKUP(Tabela15[[#This Row],[Produto]],[1]Planilha1!$K$3:$N$300,4,0),"NÃO")</f>
        <v>NÃO</v>
      </c>
      <c r="B386" s="7">
        <v>616</v>
      </c>
      <c r="C386" s="7" t="s">
        <v>423</v>
      </c>
      <c r="D386" s="7" t="s">
        <v>83</v>
      </c>
      <c r="E386" s="7" t="s">
        <v>397</v>
      </c>
      <c r="F386" s="15">
        <f>[2]!Tabela15[[#This Row],[Preço PIS/Cofins/ICMS]]*1.1</f>
        <v>0.66</v>
      </c>
      <c r="G386" s="10"/>
    </row>
    <row r="387" spans="1:7" ht="15" customHeight="1" x14ac:dyDescent="0.25">
      <c r="A387" t="str">
        <f>IFERROR(VLOOKUP(Tabela15[[#This Row],[Produto]],[1]Planilha1!$K$3:$N$300,4,0),"NÃO")</f>
        <v>NÃO</v>
      </c>
      <c r="B387" s="7">
        <v>617</v>
      </c>
      <c r="C387" s="7" t="s">
        <v>424</v>
      </c>
      <c r="D387" s="7" t="s">
        <v>83</v>
      </c>
      <c r="E387" s="7" t="s">
        <v>400</v>
      </c>
      <c r="F387" s="15">
        <v>1.359</v>
      </c>
      <c r="G387" s="10"/>
    </row>
    <row r="388" spans="1:7" ht="15" customHeight="1" x14ac:dyDescent="0.25">
      <c r="A388" t="str">
        <f>IFERROR(VLOOKUP(Tabela15[[#This Row],[Produto]],[1]Planilha1!$K$3:$N$300,4,0),"NÃO")</f>
        <v>NÃO</v>
      </c>
      <c r="B388" s="7">
        <v>618</v>
      </c>
      <c r="C388" s="7" t="s">
        <v>425</v>
      </c>
      <c r="D388" s="7" t="s">
        <v>83</v>
      </c>
      <c r="E388" s="7" t="s">
        <v>400</v>
      </c>
      <c r="F388" s="15">
        <f>[2]!Tabela15[[#This Row],[Preço PIS/Cofins/ICMS]]*1.1</f>
        <v>2.7829999999999999</v>
      </c>
      <c r="G388" s="10"/>
    </row>
    <row r="389" spans="1:7" ht="15" customHeight="1" x14ac:dyDescent="0.25">
      <c r="A389" t="str">
        <f>IFERROR(VLOOKUP(Tabela15[[#This Row],[Produto]],[1]Planilha1!$K$3:$N$300,4,0),"NÃO")</f>
        <v>NÃO</v>
      </c>
      <c r="B389" s="7">
        <v>619</v>
      </c>
      <c r="C389" s="7" t="s">
        <v>426</v>
      </c>
      <c r="D389" s="7" t="s">
        <v>83</v>
      </c>
      <c r="E389" s="7" t="s">
        <v>400</v>
      </c>
      <c r="F389" s="15">
        <v>3.3210000000000002</v>
      </c>
      <c r="G389" s="10"/>
    </row>
    <row r="390" spans="1:7" ht="15" customHeight="1" x14ac:dyDescent="0.25">
      <c r="A390" t="str">
        <f>IFERROR(VLOOKUP(Tabela15[[#This Row],[Produto]],[1]Planilha1!$K$3:$N$300,4,0),"NÃO")</f>
        <v>NÃO</v>
      </c>
      <c r="B390" s="7">
        <v>621</v>
      </c>
      <c r="C390" s="7" t="s">
        <v>427</v>
      </c>
      <c r="D390" s="7" t="s">
        <v>83</v>
      </c>
      <c r="E390" s="7" t="s">
        <v>404</v>
      </c>
      <c r="F390" s="15">
        <v>22.379000000000001</v>
      </c>
      <c r="G390" s="10"/>
    </row>
    <row r="391" spans="1:7" ht="15" customHeight="1" x14ac:dyDescent="0.25">
      <c r="A391" t="str">
        <f>IFERROR(VLOOKUP(Tabela15[[#This Row],[Produto]],[1]Planilha1!$K$3:$N$300,4,0),"NÃO")</f>
        <v>NÃO</v>
      </c>
      <c r="B391" s="7">
        <v>622</v>
      </c>
      <c r="C391" s="7" t="s">
        <v>428</v>
      </c>
      <c r="D391" s="7" t="s">
        <v>83</v>
      </c>
      <c r="E391" s="7" t="s">
        <v>400</v>
      </c>
      <c r="F391" s="15">
        <f>[2]!Tabela15[[#This Row],[Preço PIS/Cofins/ICMS]]*1.1</f>
        <v>13.750000000000002</v>
      </c>
      <c r="G391" s="10"/>
    </row>
    <row r="392" spans="1:7" ht="15" customHeight="1" x14ac:dyDescent="0.25">
      <c r="A392" t="str">
        <f>IFERROR(VLOOKUP(Tabela15[[#This Row],[Produto]],[1]Planilha1!$K$3:$N$300,4,0),"NÃO")</f>
        <v>NÃO</v>
      </c>
      <c r="B392" s="7">
        <v>623</v>
      </c>
      <c r="C392" s="7" t="s">
        <v>429</v>
      </c>
      <c r="D392" s="7" t="s">
        <v>83</v>
      </c>
      <c r="E392" s="7" t="s">
        <v>400</v>
      </c>
      <c r="F392" s="15">
        <f>[2]!Tabela15[[#This Row],[Preço PIS/Cofins/ICMS]]*1.1</f>
        <v>3.2230000000000003</v>
      </c>
      <c r="G392" s="10"/>
    </row>
    <row r="393" spans="1:7" ht="15" customHeight="1" x14ac:dyDescent="0.25">
      <c r="A393" t="str">
        <f>IFERROR(VLOOKUP(Tabela15[[#This Row],[Produto]],[1]Planilha1!$K$3:$N$300,4,0),"NÃO")</f>
        <v>NÃO</v>
      </c>
      <c r="B393" s="7">
        <v>624</v>
      </c>
      <c r="C393" s="7" t="s">
        <v>430</v>
      </c>
      <c r="D393" s="7" t="s">
        <v>83</v>
      </c>
      <c r="E393" s="7" t="s">
        <v>400</v>
      </c>
      <c r="F393" s="15">
        <f>[2]!Tabela15[[#This Row],[Preço PIS/Cofins/ICMS]]*1.1</f>
        <v>3.1240000000000001</v>
      </c>
      <c r="G393" s="10"/>
    </row>
    <row r="394" spans="1:7" ht="15" customHeight="1" x14ac:dyDescent="0.25">
      <c r="A394" t="str">
        <f>IFERROR(VLOOKUP(Tabela15[[#This Row],[Produto]],[1]Planilha1!$K$3:$N$300,4,0),"NÃO")</f>
        <v>NÃO</v>
      </c>
      <c r="B394" s="7">
        <v>626</v>
      </c>
      <c r="C394" s="7" t="s">
        <v>431</v>
      </c>
      <c r="D394" s="7" t="s">
        <v>83</v>
      </c>
      <c r="E394" s="7" t="s">
        <v>397</v>
      </c>
      <c r="F394" s="15">
        <v>2.3279999999999998</v>
      </c>
      <c r="G394" s="10"/>
    </row>
    <row r="395" spans="1:7" ht="15" customHeight="1" x14ac:dyDescent="0.25">
      <c r="A395" t="str">
        <f>IFERROR(VLOOKUP(Tabela15[[#This Row],[Produto]],[1]Planilha1!$K$3:$N$300,4,0),"NÃO")</f>
        <v>NÃO</v>
      </c>
      <c r="B395" s="7">
        <v>627</v>
      </c>
      <c r="C395" s="7" t="s">
        <v>432</v>
      </c>
      <c r="D395" s="7" t="s">
        <v>83</v>
      </c>
      <c r="E395" s="7" t="s">
        <v>400</v>
      </c>
      <c r="F395" s="15">
        <v>4.875</v>
      </c>
      <c r="G395" s="10"/>
    </row>
    <row r="396" spans="1:7" ht="15" customHeight="1" x14ac:dyDescent="0.25">
      <c r="A396" t="str">
        <f>IFERROR(VLOOKUP(Tabela15[[#This Row],[Produto]],[1]Planilha1!$K$3:$N$300,4,0),"NÃO")</f>
        <v>NÃO</v>
      </c>
      <c r="B396" s="7">
        <v>628</v>
      </c>
      <c r="C396" s="7" t="s">
        <v>433</v>
      </c>
      <c r="D396" s="7" t="s">
        <v>83</v>
      </c>
      <c r="E396" s="7" t="s">
        <v>400</v>
      </c>
      <c r="F396" s="15">
        <f>[2]!Tabela15[[#This Row],[Preço PIS/Cofins/ICMS]]*1.1</f>
        <v>10.571</v>
      </c>
      <c r="G396" s="10"/>
    </row>
    <row r="397" spans="1:7" ht="15" customHeight="1" x14ac:dyDescent="0.25">
      <c r="A397" t="str">
        <f>IFERROR(VLOOKUP(Tabela15[[#This Row],[Produto]],[1]Planilha1!$K$3:$N$300,4,0),"NÃO")</f>
        <v>NÃO</v>
      </c>
      <c r="B397" s="7">
        <v>629</v>
      </c>
      <c r="C397" s="7" t="s">
        <v>434</v>
      </c>
      <c r="D397" s="7" t="s">
        <v>83</v>
      </c>
      <c r="E397" s="7" t="s">
        <v>400</v>
      </c>
      <c r="F397" s="15">
        <v>12.34</v>
      </c>
      <c r="G397" s="10"/>
    </row>
    <row r="398" spans="1:7" ht="15" customHeight="1" x14ac:dyDescent="0.25">
      <c r="A398" t="str">
        <f>IFERROR(VLOOKUP(Tabela15[[#This Row],[Produto]],[1]Planilha1!$K$3:$N$300,4,0),"NÃO")</f>
        <v>NÃO</v>
      </c>
      <c r="B398" s="7">
        <v>630</v>
      </c>
      <c r="C398" s="7" t="s">
        <v>435</v>
      </c>
      <c r="D398" s="7" t="s">
        <v>83</v>
      </c>
      <c r="E398" s="7" t="s">
        <v>404</v>
      </c>
      <c r="F398" s="15">
        <f>[2]!Tabela15[[#This Row],[Preço PIS/Cofins/ICMS]]*1.1</f>
        <v>55.605000000000004</v>
      </c>
      <c r="G398" s="10"/>
    </row>
    <row r="399" spans="1:7" ht="15" customHeight="1" x14ac:dyDescent="0.25">
      <c r="A399" t="str">
        <f>IFERROR(VLOOKUP(Tabela15[[#This Row],[Produto]],[1]Planilha1!$K$3:$N$300,4,0),"NÃO")</f>
        <v>NÃO</v>
      </c>
      <c r="B399" s="7">
        <v>633</v>
      </c>
      <c r="C399" s="7" t="s">
        <v>436</v>
      </c>
      <c r="D399" s="7" t="s">
        <v>83</v>
      </c>
      <c r="E399" s="7" t="s">
        <v>397</v>
      </c>
      <c r="F399" s="15">
        <f>[2]!Tabela15[[#This Row],[Preço PIS/Cofins/ICMS]]*1.1</f>
        <v>4.5760000000000005</v>
      </c>
      <c r="G399" s="10"/>
    </row>
    <row r="400" spans="1:7" ht="15" customHeight="1" x14ac:dyDescent="0.25">
      <c r="A400" t="str">
        <f>IFERROR(VLOOKUP(Tabela15[[#This Row],[Produto]],[1]Planilha1!$K$3:$N$300,4,0),"NÃO")</f>
        <v>NÃO</v>
      </c>
      <c r="B400" s="7">
        <v>634</v>
      </c>
      <c r="C400" s="7" t="s">
        <v>437</v>
      </c>
      <c r="D400" s="7" t="s">
        <v>83</v>
      </c>
      <c r="E400" s="7" t="s">
        <v>400</v>
      </c>
      <c r="F400" s="15">
        <f>[2]!Tabela15[[#This Row],[Preço PIS/Cofins/ICMS]]*1.1</f>
        <v>9.1080000000000005</v>
      </c>
      <c r="G400" s="10"/>
    </row>
    <row r="401" spans="1:7" ht="15" customHeight="1" x14ac:dyDescent="0.25">
      <c r="A401" t="str">
        <f>IFERROR(VLOOKUP(Tabela15[[#This Row],[Produto]],[1]Planilha1!$K$3:$N$300,4,0),"NÃO")</f>
        <v>NÃO</v>
      </c>
      <c r="B401" s="7">
        <v>635</v>
      </c>
      <c r="C401" s="7" t="s">
        <v>438</v>
      </c>
      <c r="D401" s="7" t="s">
        <v>83</v>
      </c>
      <c r="E401" s="7" t="s">
        <v>400</v>
      </c>
      <c r="F401" s="15">
        <f>[2]!Tabela15[[#This Row],[Preço PIS/Cofins/ICMS]]*1.1</f>
        <v>27.269000000000002</v>
      </c>
      <c r="G401" s="10"/>
    </row>
    <row r="402" spans="1:7" ht="15" customHeight="1" x14ac:dyDescent="0.25">
      <c r="A402" t="str">
        <f>IFERROR(VLOOKUP(Tabela15[[#This Row],[Produto]],[1]Planilha1!$K$3:$N$300,4,0),"NÃO")</f>
        <v>NÃO</v>
      </c>
      <c r="B402" s="7">
        <v>636</v>
      </c>
      <c r="C402" s="7" t="s">
        <v>439</v>
      </c>
      <c r="D402" s="7" t="s">
        <v>83</v>
      </c>
      <c r="E402" s="7" t="s">
        <v>400</v>
      </c>
      <c r="F402" s="15">
        <f>[2]!Tabela15[[#This Row],[Preço PIS/Cofins/ICMS]]*1.1</f>
        <v>22.682000000000002</v>
      </c>
      <c r="G402" s="10"/>
    </row>
    <row r="403" spans="1:7" ht="15" customHeight="1" x14ac:dyDescent="0.25">
      <c r="A403" t="str">
        <f>IFERROR(VLOOKUP(Tabela15[[#This Row],[Produto]],[1]Planilha1!$K$3:$N$300,4,0),"NÃO")</f>
        <v>NÃO</v>
      </c>
      <c r="B403" s="7">
        <v>637</v>
      </c>
      <c r="C403" s="7" t="s">
        <v>440</v>
      </c>
      <c r="D403" s="7" t="s">
        <v>83</v>
      </c>
      <c r="E403" s="7" t="s">
        <v>417</v>
      </c>
      <c r="F403" s="15">
        <f>[2]!Tabela15[[#This Row],[Preço PIS/Cofins/ICMS]]*1.1</f>
        <v>89.727000000000004</v>
      </c>
      <c r="G403" s="10"/>
    </row>
    <row r="404" spans="1:7" ht="15" customHeight="1" x14ac:dyDescent="0.25">
      <c r="A404" t="str">
        <f>IFERROR(VLOOKUP(Tabela15[[#This Row],[Produto]],[1]Planilha1!$K$3:$N$300,4,0),"NÃO")</f>
        <v>NÃO</v>
      </c>
      <c r="B404" s="7">
        <v>638</v>
      </c>
      <c r="C404" s="7" t="s">
        <v>441</v>
      </c>
      <c r="D404" s="7" t="s">
        <v>83</v>
      </c>
      <c r="E404" s="7" t="s">
        <v>400</v>
      </c>
      <c r="F404" s="15">
        <f>[2]!Tabela15[[#This Row],[Coluna1]]*1.1</f>
        <v>7.5130000000000008</v>
      </c>
      <c r="G404" s="10"/>
    </row>
    <row r="405" spans="1:7" ht="15" customHeight="1" x14ac:dyDescent="0.25">
      <c r="A405" t="str">
        <f>IFERROR(VLOOKUP(Tabela15[[#This Row],[Produto]],[1]Planilha1!$K$3:$N$300,4,0),"NÃO")</f>
        <v>NÃO</v>
      </c>
      <c r="B405" s="7">
        <v>639</v>
      </c>
      <c r="C405" s="7" t="s">
        <v>442</v>
      </c>
      <c r="D405" s="7" t="s">
        <v>83</v>
      </c>
      <c r="E405" s="7" t="s">
        <v>400</v>
      </c>
      <c r="F405" s="15">
        <v>9.15</v>
      </c>
      <c r="G405" s="10"/>
    </row>
    <row r="406" spans="1:7" ht="15" customHeight="1" x14ac:dyDescent="0.25">
      <c r="A406" t="str">
        <f>IFERROR(VLOOKUP(Tabela15[[#This Row],[Produto]],[1]Planilha1!$K$3:$N$300,4,0),"NÃO")</f>
        <v>NÃO</v>
      </c>
      <c r="B406" s="7">
        <v>640</v>
      </c>
      <c r="C406" s="7" t="s">
        <v>443</v>
      </c>
      <c r="D406" s="7" t="s">
        <v>83</v>
      </c>
      <c r="E406" s="7" t="s">
        <v>400</v>
      </c>
      <c r="F406" s="15">
        <f>[2]!Tabela15[[#This Row],[Preço PIS/Cofins/ICMS]]*1.1</f>
        <v>14.707000000000001</v>
      </c>
      <c r="G406" s="10"/>
    </row>
    <row r="407" spans="1:7" ht="15" customHeight="1" x14ac:dyDescent="0.25">
      <c r="A407" t="str">
        <f>IFERROR(VLOOKUP(Tabela15[[#This Row],[Produto]],[1]Planilha1!$K$3:$N$300,4,0),"NÃO")</f>
        <v>NÃO</v>
      </c>
      <c r="B407" s="7">
        <v>641</v>
      </c>
      <c r="C407" s="7" t="s">
        <v>444</v>
      </c>
      <c r="D407" s="7" t="s">
        <v>83</v>
      </c>
      <c r="E407" s="7" t="s">
        <v>404</v>
      </c>
      <c r="F407" s="15">
        <f>[2]!Tabela15[[#This Row],[Preço PIS/Cofins/ICMS]]*1.1</f>
        <v>38.302000000000007</v>
      </c>
      <c r="G407" s="10"/>
    </row>
    <row r="408" spans="1:7" ht="15" customHeight="1" x14ac:dyDescent="0.25">
      <c r="A408" t="str">
        <f>IFERROR(VLOOKUP(Tabela15[[#This Row],[Produto]],[1]Planilha1!$K$3:$N$300,4,0),"NÃO")</f>
        <v>NÃO</v>
      </c>
      <c r="B408" s="7">
        <v>644</v>
      </c>
      <c r="C408" s="7" t="s">
        <v>445</v>
      </c>
      <c r="D408" s="7" t="s">
        <v>83</v>
      </c>
      <c r="E408" s="7" t="s">
        <v>397</v>
      </c>
      <c r="F408" s="15">
        <f>[2]!Tabela15[[#This Row],[Preço PIS/Cofins/ICMS]]*1.1</f>
        <v>0.93500000000000005</v>
      </c>
      <c r="G408" s="10"/>
    </row>
    <row r="409" spans="1:7" ht="15" customHeight="1" x14ac:dyDescent="0.25">
      <c r="A409" t="str">
        <f>IFERROR(VLOOKUP(Tabela15[[#This Row],[Produto]],[1]Planilha1!$K$3:$N$300,4,0),"NÃO")</f>
        <v>NÃO</v>
      </c>
      <c r="B409" s="7">
        <v>645</v>
      </c>
      <c r="C409" s="7" t="s">
        <v>446</v>
      </c>
      <c r="D409" s="7" t="s">
        <v>83</v>
      </c>
      <c r="E409" s="7" t="s">
        <v>400</v>
      </c>
      <c r="F409" s="15">
        <v>1.415</v>
      </c>
      <c r="G409" s="10"/>
    </row>
    <row r="410" spans="1:7" ht="15" customHeight="1" x14ac:dyDescent="0.25">
      <c r="A410" t="str">
        <f>IFERROR(VLOOKUP(Tabela15[[#This Row],[Produto]],[1]Planilha1!$K$3:$N$300,4,0),"NÃO")</f>
        <v>NÃO</v>
      </c>
      <c r="B410" s="7">
        <v>646</v>
      </c>
      <c r="C410" s="7" t="s">
        <v>447</v>
      </c>
      <c r="D410" s="7" t="s">
        <v>83</v>
      </c>
      <c r="E410" s="7" t="s">
        <v>400</v>
      </c>
      <c r="F410" s="15">
        <v>2.6019999999999999</v>
      </c>
      <c r="G410" s="10"/>
    </row>
    <row r="411" spans="1:7" ht="15" customHeight="1" x14ac:dyDescent="0.25">
      <c r="A411" t="str">
        <f>IFERROR(VLOOKUP(Tabela15[[#This Row],[Produto]],[1]Planilha1!$K$3:$N$300,4,0),"NÃO")</f>
        <v>NÃO</v>
      </c>
      <c r="B411" s="7">
        <v>647</v>
      </c>
      <c r="C411" s="7" t="s">
        <v>448</v>
      </c>
      <c r="D411" s="7" t="s">
        <v>83</v>
      </c>
      <c r="E411" s="7" t="s">
        <v>400</v>
      </c>
      <c r="F411" s="15">
        <v>2.899</v>
      </c>
      <c r="G411" s="10"/>
    </row>
    <row r="412" spans="1:7" ht="15" customHeight="1" x14ac:dyDescent="0.25">
      <c r="A412" t="str">
        <f>IFERROR(VLOOKUP(Tabela15[[#This Row],[Produto]],[1]Planilha1!$K$3:$N$300,4,0),"NÃO")</f>
        <v>NÃO</v>
      </c>
      <c r="B412" s="7">
        <v>648</v>
      </c>
      <c r="C412" s="7" t="s">
        <v>449</v>
      </c>
      <c r="D412" s="7" t="s">
        <v>83</v>
      </c>
      <c r="E412" s="7" t="s">
        <v>404</v>
      </c>
      <c r="F412" s="15">
        <v>14.679</v>
      </c>
      <c r="G412" s="10"/>
    </row>
    <row r="413" spans="1:7" ht="15" customHeight="1" x14ac:dyDescent="0.25">
      <c r="A413" t="str">
        <f>IFERROR(VLOOKUP(Tabela15[[#This Row],[Produto]],[1]Planilha1!$K$3:$N$300,4,0),"NÃO")</f>
        <v>NÃO</v>
      </c>
      <c r="B413" s="7">
        <v>649</v>
      </c>
      <c r="C413" s="7" t="s">
        <v>450</v>
      </c>
      <c r="D413" s="7" t="s">
        <v>83</v>
      </c>
      <c r="E413" s="7" t="s">
        <v>397</v>
      </c>
      <c r="F413" s="15">
        <f>[2]!Tabela15[[#This Row],[Preço PIS/Cofins/ICMS]]*1.1</f>
        <v>5.1920000000000002</v>
      </c>
      <c r="G413" s="10"/>
    </row>
    <row r="414" spans="1:7" ht="15" customHeight="1" x14ac:dyDescent="0.25">
      <c r="A414" t="str">
        <f>IFERROR(VLOOKUP(Tabela15[[#This Row],[Produto]],[1]Planilha1!$K$3:$N$300,4,0),"NÃO")</f>
        <v>NÃO</v>
      </c>
      <c r="B414" s="7">
        <v>650</v>
      </c>
      <c r="C414" s="7" t="s">
        <v>451</v>
      </c>
      <c r="D414" s="7" t="s">
        <v>83</v>
      </c>
      <c r="E414" s="7" t="s">
        <v>400</v>
      </c>
      <c r="F414" s="15">
        <f>[2]!Tabela15[[#This Row],[Preço PIS/Cofins/ICMS]]*1.1</f>
        <v>6.7650000000000006</v>
      </c>
      <c r="G414" s="10"/>
    </row>
    <row r="415" spans="1:7" ht="15" customHeight="1" x14ac:dyDescent="0.25">
      <c r="A415" t="str">
        <f>IFERROR(VLOOKUP(Tabela15[[#This Row],[Produto]],[1]Planilha1!$K$3:$N$300,4,0),"NÃO")</f>
        <v>NÃO</v>
      </c>
      <c r="B415" s="7">
        <v>651</v>
      </c>
      <c r="C415" s="7" t="s">
        <v>452</v>
      </c>
      <c r="D415" s="7" t="s">
        <v>83</v>
      </c>
      <c r="E415" s="7" t="s">
        <v>400</v>
      </c>
      <c r="F415" s="15">
        <f>[2]!Tabela15[[#This Row],[Preço PIS/Cofins/ICMS]]*1.1</f>
        <v>6.798</v>
      </c>
      <c r="G415" s="10"/>
    </row>
    <row r="416" spans="1:7" ht="15" customHeight="1" x14ac:dyDescent="0.25">
      <c r="A416" t="str">
        <f>IFERROR(VLOOKUP(Tabela15[[#This Row],[Produto]],[1]Planilha1!$K$3:$N$300,4,0),"NÃO")</f>
        <v>NÃO</v>
      </c>
      <c r="B416" s="7">
        <v>652</v>
      </c>
      <c r="C416" s="7" t="s">
        <v>453</v>
      </c>
      <c r="D416" s="7" t="s">
        <v>83</v>
      </c>
      <c r="E416" s="7" t="s">
        <v>400</v>
      </c>
      <c r="F416" s="15">
        <f>[2]!Tabela15[[#This Row],[Preço PIS/Cofins/ICMS]]*1.1</f>
        <v>8.25</v>
      </c>
      <c r="G416" s="10"/>
    </row>
    <row r="417" spans="1:7" ht="15" customHeight="1" x14ac:dyDescent="0.25">
      <c r="A417" t="str">
        <f>IFERROR(VLOOKUP(Tabela15[[#This Row],[Produto]],[1]Planilha1!$K$3:$N$300,4,0),"NÃO")</f>
        <v>NÃO</v>
      </c>
      <c r="B417" s="7">
        <v>653</v>
      </c>
      <c r="C417" s="7" t="s">
        <v>454</v>
      </c>
      <c r="D417" s="7" t="s">
        <v>83</v>
      </c>
      <c r="E417" s="7" t="s">
        <v>404</v>
      </c>
      <c r="F417" s="15">
        <f>[2]!Tabela15[[#This Row],[Preço PIS/Cofins/ICMS]]*1.1</f>
        <v>25.795000000000002</v>
      </c>
      <c r="G417" s="10"/>
    </row>
    <row r="418" spans="1:7" ht="15" customHeight="1" x14ac:dyDescent="0.25">
      <c r="A418" t="str">
        <f>IFERROR(VLOOKUP(Tabela15[[#This Row],[Produto]],[1]Planilha1!$K$3:$N$300,4,0),"NÃO")</f>
        <v>NÃO</v>
      </c>
      <c r="B418" s="7">
        <v>654</v>
      </c>
      <c r="C418" s="7" t="s">
        <v>455</v>
      </c>
      <c r="D418" s="7" t="s">
        <v>83</v>
      </c>
      <c r="E418" s="7" t="s">
        <v>400</v>
      </c>
      <c r="F418" s="15">
        <f>[2]!Tabela15[[#This Row],[Preço PIS/Cofins/ICMS]]*1.1</f>
        <v>3.5420000000000007</v>
      </c>
      <c r="G418" s="10"/>
    </row>
    <row r="419" spans="1:7" ht="15" customHeight="1" x14ac:dyDescent="0.25">
      <c r="A419" t="str">
        <f>IFERROR(VLOOKUP(Tabela15[[#This Row],[Produto]],[1]Planilha1!$K$3:$N$300,4,0),"NÃO")</f>
        <v>NÃO</v>
      </c>
      <c r="B419" s="7">
        <v>655</v>
      </c>
      <c r="C419" s="7" t="s">
        <v>456</v>
      </c>
      <c r="D419" s="7" t="s">
        <v>83</v>
      </c>
      <c r="E419" s="7" t="s">
        <v>400</v>
      </c>
      <c r="F419" s="15">
        <f>[2]!Tabela15[[#This Row],[Preço PIS/Cofins/ICMS]]*1.1</f>
        <v>3.9930000000000003</v>
      </c>
      <c r="G419" s="10"/>
    </row>
    <row r="420" spans="1:7" ht="15" customHeight="1" x14ac:dyDescent="0.25">
      <c r="A420" t="str">
        <f>IFERROR(VLOOKUP(Tabela15[[#This Row],[Produto]],[1]Planilha1!$K$3:$N$300,4,0),"NÃO")</f>
        <v>NÃO</v>
      </c>
      <c r="B420" s="7">
        <v>656</v>
      </c>
      <c r="C420" s="7" t="s">
        <v>457</v>
      </c>
      <c r="D420" s="7" t="s">
        <v>83</v>
      </c>
      <c r="E420" s="7" t="s">
        <v>400</v>
      </c>
      <c r="F420" s="15">
        <f>[2]!Tabela15[[#This Row],[Preço PIS/Cofins/ICMS]]*1.1</f>
        <v>4.5870000000000006</v>
      </c>
      <c r="G420" s="10"/>
    </row>
    <row r="421" spans="1:7" ht="15" customHeight="1" x14ac:dyDescent="0.25">
      <c r="A421" t="str">
        <f>IFERROR(VLOOKUP(Tabela15[[#This Row],[Produto]],[1]Planilha1!$K$3:$N$300,4,0),"NÃO")</f>
        <v>NÃO</v>
      </c>
      <c r="B421" s="7">
        <v>657</v>
      </c>
      <c r="C421" s="7" t="s">
        <v>458</v>
      </c>
      <c r="D421" s="7" t="s">
        <v>83</v>
      </c>
      <c r="E421" s="7" t="s">
        <v>404</v>
      </c>
      <c r="F421" s="15">
        <f>[2]!Tabela15[[#This Row],[Preço PIS/Cofins/ICMS]]*1.1</f>
        <v>13.761000000000001</v>
      </c>
      <c r="G421" s="10"/>
    </row>
    <row r="422" spans="1:7" ht="15" customHeight="1" x14ac:dyDescent="0.25">
      <c r="A422" t="str">
        <f>IFERROR(VLOOKUP(Tabela15[[#This Row],[Produto]],[1]Planilha1!$K$3:$N$300,4,0),"NÃO")</f>
        <v>NÃO</v>
      </c>
      <c r="B422" s="7">
        <v>658</v>
      </c>
      <c r="C422" s="7" t="s">
        <v>459</v>
      </c>
      <c r="D422" s="7" t="s">
        <v>83</v>
      </c>
      <c r="E422" s="7" t="s">
        <v>397</v>
      </c>
      <c r="F422" s="15">
        <f>[2]!Tabela15[[#This Row],[Preço PIS/Cofins/ICMS]]*1.1</f>
        <v>1.4190000000000003</v>
      </c>
      <c r="G422" s="10"/>
    </row>
    <row r="423" spans="1:7" ht="15" customHeight="1" x14ac:dyDescent="0.25">
      <c r="A423" t="str">
        <f>IFERROR(VLOOKUP(Tabela15[[#This Row],[Produto]],[1]Planilha1!$K$3:$N$300,4,0),"NÃO")</f>
        <v>NÃO</v>
      </c>
      <c r="B423" s="7">
        <v>659</v>
      </c>
      <c r="C423" s="7" t="s">
        <v>460</v>
      </c>
      <c r="D423" s="7" t="s">
        <v>83</v>
      </c>
      <c r="E423" s="7" t="s">
        <v>400</v>
      </c>
      <c r="F423" s="15">
        <v>3.3239999999999998</v>
      </c>
      <c r="G423" s="10"/>
    </row>
    <row r="424" spans="1:7" ht="15" customHeight="1" x14ac:dyDescent="0.25">
      <c r="A424" t="str">
        <f>IFERROR(VLOOKUP(Tabela15[[#This Row],[Produto]],[1]Planilha1!$K$3:$N$300,4,0),"NÃO")</f>
        <v>NÃO</v>
      </c>
      <c r="B424" s="7">
        <v>660</v>
      </c>
      <c r="C424" s="7" t="s">
        <v>461</v>
      </c>
      <c r="D424" s="7" t="s">
        <v>83</v>
      </c>
      <c r="E424" s="7" t="s">
        <v>400</v>
      </c>
      <c r="F424" s="15">
        <f>[2]!Tabela15[[#This Row],[Preço PIS/Cofins/ICMS]]*1.1</f>
        <v>7.3150000000000013</v>
      </c>
      <c r="G424" s="10"/>
    </row>
    <row r="425" spans="1:7" ht="15" customHeight="1" x14ac:dyDescent="0.25">
      <c r="A425" t="str">
        <f>IFERROR(VLOOKUP(Tabela15[[#This Row],[Produto]],[1]Planilha1!$K$3:$N$300,4,0),"NÃO")</f>
        <v>NÃO</v>
      </c>
      <c r="B425" s="7">
        <v>661</v>
      </c>
      <c r="C425" s="7" t="s">
        <v>462</v>
      </c>
      <c r="D425" s="7" t="s">
        <v>83</v>
      </c>
      <c r="E425" s="7" t="s">
        <v>400</v>
      </c>
      <c r="F425" s="15">
        <v>7.43</v>
      </c>
      <c r="G425" s="10"/>
    </row>
    <row r="426" spans="1:7" ht="15" customHeight="1" x14ac:dyDescent="0.25">
      <c r="A426" t="str">
        <f>IFERROR(VLOOKUP(Tabela15[[#This Row],[Produto]],[1]Planilha1!$K$3:$N$300,4,0),"NÃO")</f>
        <v>NÃO</v>
      </c>
      <c r="B426" s="7">
        <v>662</v>
      </c>
      <c r="C426" s="7" t="s">
        <v>463</v>
      </c>
      <c r="D426" s="7" t="s">
        <v>83</v>
      </c>
      <c r="E426" s="7" t="s">
        <v>404</v>
      </c>
      <c r="F426" s="15">
        <f>[2]!Tabela15[[#This Row],[Preço PIS/Cofins/ICMS]]*1.1</f>
        <v>39.006000000000007</v>
      </c>
      <c r="G426" s="10"/>
    </row>
    <row r="427" spans="1:7" ht="15" customHeight="1" x14ac:dyDescent="0.25">
      <c r="A427" t="str">
        <f>IFERROR(VLOOKUP(Tabela15[[#This Row],[Produto]],[1]Planilha1!$K$3:$N$300,4,0),"NÃO")</f>
        <v>NÃO</v>
      </c>
      <c r="B427" s="7">
        <v>663</v>
      </c>
      <c r="C427" s="7" t="s">
        <v>464</v>
      </c>
      <c r="D427" s="7" t="s">
        <v>83</v>
      </c>
      <c r="E427" s="7" t="s">
        <v>400</v>
      </c>
      <c r="F427" s="15">
        <v>7.774</v>
      </c>
      <c r="G427" s="10"/>
    </row>
    <row r="428" spans="1:7" ht="15" customHeight="1" x14ac:dyDescent="0.25">
      <c r="A428" t="str">
        <f>IFERROR(VLOOKUP(Tabela15[[#This Row],[Produto]],[1]Planilha1!$K$3:$N$300,4,0),"NÃO")</f>
        <v>NÃO</v>
      </c>
      <c r="B428" s="7">
        <v>664</v>
      </c>
      <c r="C428" s="7" t="s">
        <v>465</v>
      </c>
      <c r="D428" s="7" t="s">
        <v>83</v>
      </c>
      <c r="E428" s="7" t="s">
        <v>400</v>
      </c>
      <c r="F428" s="15">
        <v>6.2720000000000002</v>
      </c>
      <c r="G428" s="10"/>
    </row>
    <row r="429" spans="1:7" ht="15" customHeight="1" x14ac:dyDescent="0.25">
      <c r="A429" t="str">
        <f>IFERROR(VLOOKUP(Tabela15[[#This Row],[Produto]],[1]Planilha1!$K$3:$N$300,4,0),"NÃO")</f>
        <v>NÃO</v>
      </c>
      <c r="B429" s="7">
        <v>665</v>
      </c>
      <c r="C429" s="7" t="s">
        <v>466</v>
      </c>
      <c r="D429" s="7" t="s">
        <v>83</v>
      </c>
      <c r="E429" s="7" t="s">
        <v>400</v>
      </c>
      <c r="F429" s="15">
        <f>[2]!Tabela15[[#This Row],[Preço PIS/Cofins/ICMS]]*1.1</f>
        <v>10.824</v>
      </c>
      <c r="G429" s="10"/>
    </row>
    <row r="430" spans="1:7" ht="15" customHeight="1" x14ac:dyDescent="0.25">
      <c r="A430" t="str">
        <f>IFERROR(VLOOKUP(Tabela15[[#This Row],[Produto]],[1]Planilha1!$K$3:$N$300,4,0),"NÃO")</f>
        <v>NÃO</v>
      </c>
      <c r="B430" s="7">
        <v>666</v>
      </c>
      <c r="C430" s="7" t="s">
        <v>467</v>
      </c>
      <c r="D430" s="7" t="s">
        <v>83</v>
      </c>
      <c r="E430" s="7" t="s">
        <v>404</v>
      </c>
      <c r="F430" s="15">
        <f>[2]!Tabela15[[#This Row],[Preço PIS/Cofins/ICMS]]*1.1</f>
        <v>36.190000000000005</v>
      </c>
      <c r="G430" s="10"/>
    </row>
    <row r="431" spans="1:7" ht="15" customHeight="1" x14ac:dyDescent="0.25">
      <c r="A431" t="str">
        <f>IFERROR(VLOOKUP(Tabela15[[#This Row],[Produto]],[1]Planilha1!$K$3:$N$300,4,0),"NÃO")</f>
        <v>NÃO</v>
      </c>
      <c r="B431" s="7">
        <v>668</v>
      </c>
      <c r="C431" s="7" t="s">
        <v>468</v>
      </c>
      <c r="D431" s="7" t="s">
        <v>83</v>
      </c>
      <c r="E431" s="7" t="s">
        <v>469</v>
      </c>
      <c r="F431" s="15">
        <f>[2]!Tabela15[[#This Row],[Preço PIS/Cofins/ICMS]]*1.1</f>
        <v>59.631000000000007</v>
      </c>
      <c r="G431" s="10"/>
    </row>
    <row r="432" spans="1:7" ht="15" customHeight="1" x14ac:dyDescent="0.25">
      <c r="A432" t="str">
        <f>IFERROR(VLOOKUP(Tabela15[[#This Row],[Produto]],[1]Planilha1!$K$3:$N$300,4,0),"NÃO")</f>
        <v>NÃO</v>
      </c>
      <c r="B432" s="7">
        <v>669</v>
      </c>
      <c r="C432" s="7" t="s">
        <v>470</v>
      </c>
      <c r="D432" s="7" t="s">
        <v>83</v>
      </c>
      <c r="E432" s="7" t="s">
        <v>469</v>
      </c>
      <c r="F432" s="15">
        <f>[2]!Tabela15[[#This Row],[Preço PIS/Cofins/ICMS]]*1.1</f>
        <v>91.046999999999997</v>
      </c>
      <c r="G432" s="10"/>
    </row>
    <row r="433" spans="1:7" ht="15" customHeight="1" x14ac:dyDescent="0.25">
      <c r="A433" t="str">
        <f>IFERROR(VLOOKUP(Tabela15[[#This Row],[Produto]],[1]Planilha1!$K$3:$N$300,4,0),"NÃO")</f>
        <v>NÃO</v>
      </c>
      <c r="B433" s="7">
        <v>670</v>
      </c>
      <c r="C433" s="7" t="s">
        <v>471</v>
      </c>
      <c r="D433" s="7" t="s">
        <v>164</v>
      </c>
      <c r="E433" s="7" t="s">
        <v>472</v>
      </c>
      <c r="F433" s="15">
        <f>[2]!Tabela15[[#This Row],[Preço PIS/Cofins/ICMS]]*1.1</f>
        <v>0.50600000000000012</v>
      </c>
      <c r="G433" s="10"/>
    </row>
    <row r="434" spans="1:7" ht="15" customHeight="1" x14ac:dyDescent="0.25">
      <c r="A434" t="str">
        <f>IFERROR(VLOOKUP(Tabela15[[#This Row],[Produto]],[1]Planilha1!$K$3:$N$300,4,0),"NÃO")</f>
        <v>NÃO</v>
      </c>
      <c r="B434" s="7">
        <v>671</v>
      </c>
      <c r="C434" s="7" t="s">
        <v>473</v>
      </c>
      <c r="D434" s="7" t="s">
        <v>164</v>
      </c>
      <c r="E434" s="7" t="s">
        <v>472</v>
      </c>
      <c r="F434" s="15">
        <f>[2]!Tabela15[[#This Row],[Preço PIS/Cofins/ICMS]]*1.1</f>
        <v>0.50600000000000012</v>
      </c>
      <c r="G434" s="10"/>
    </row>
    <row r="435" spans="1:7" ht="15" customHeight="1" x14ac:dyDescent="0.25">
      <c r="A435" t="str">
        <f>IFERROR(VLOOKUP(Tabela15[[#This Row],[Produto]],[1]Planilha1!$K$3:$N$300,4,0),"NÃO")</f>
        <v>NÃO</v>
      </c>
      <c r="B435" s="7">
        <v>672</v>
      </c>
      <c r="C435" s="7" t="s">
        <v>474</v>
      </c>
      <c r="D435" s="7" t="s">
        <v>164</v>
      </c>
      <c r="E435" s="7" t="s">
        <v>472</v>
      </c>
      <c r="F435" s="15">
        <f>[2]!Tabela15[[#This Row],[Preço PIS/Cofins/ICMS]]*1.1</f>
        <v>0.67100000000000004</v>
      </c>
      <c r="G435" s="10"/>
    </row>
    <row r="436" spans="1:7" ht="15" customHeight="1" x14ac:dyDescent="0.25">
      <c r="A436" t="str">
        <f>IFERROR(VLOOKUP(Tabela15[[#This Row],[Produto]],[1]Planilha1!$K$3:$N$300,4,0),"NÃO")</f>
        <v>NÃO</v>
      </c>
      <c r="B436" s="7">
        <v>673</v>
      </c>
      <c r="C436" s="7" t="s">
        <v>475</v>
      </c>
      <c r="D436" s="7" t="s">
        <v>164</v>
      </c>
      <c r="E436" s="7" t="s">
        <v>472</v>
      </c>
      <c r="F436" s="15">
        <f>[2]!Tabela15[[#This Row],[Coluna1]]*1.1</f>
        <v>0.81400000000000006</v>
      </c>
      <c r="G436" s="10"/>
    </row>
    <row r="437" spans="1:7" ht="15" customHeight="1" x14ac:dyDescent="0.25">
      <c r="A437" t="str">
        <f>IFERROR(VLOOKUP(Tabela15[[#This Row],[Produto]],[1]Planilha1!$K$3:$N$300,4,0),"NÃO")</f>
        <v>NÃO</v>
      </c>
      <c r="B437" s="7">
        <v>674</v>
      </c>
      <c r="C437" s="7" t="s">
        <v>476</v>
      </c>
      <c r="D437" s="7" t="s">
        <v>164</v>
      </c>
      <c r="E437" s="7" t="s">
        <v>472</v>
      </c>
      <c r="F437" s="15">
        <f>[2]!Tabela15[[#This Row],[Preço PIS/Cofins/ICMS]]*1.1</f>
        <v>3.4210000000000003</v>
      </c>
      <c r="G437" s="10"/>
    </row>
    <row r="438" spans="1:7" ht="15" customHeight="1" x14ac:dyDescent="0.25">
      <c r="A438" t="str">
        <f>IFERROR(VLOOKUP(Tabela15[[#This Row],[Produto]],[1]Planilha1!$K$3:$N$300,4,0),"NÃO")</f>
        <v>NÃO</v>
      </c>
      <c r="B438" s="7">
        <v>675</v>
      </c>
      <c r="C438" s="7" t="s">
        <v>477</v>
      </c>
      <c r="D438" s="7" t="s">
        <v>164</v>
      </c>
      <c r="E438" s="7" t="s">
        <v>341</v>
      </c>
      <c r="F438" s="15">
        <f>[2]!Tabela15[[#This Row],[Preço PIS/Cofins/ICMS]]*1.1</f>
        <v>10.879000000000001</v>
      </c>
      <c r="G438" s="10"/>
    </row>
    <row r="439" spans="1:7" ht="15" customHeight="1" x14ac:dyDescent="0.25">
      <c r="A439" t="str">
        <f>IFERROR(VLOOKUP(Tabela15[[#This Row],[Produto]],[1]Planilha1!$K$3:$N$300,4,0),"NÃO")</f>
        <v>NÃO</v>
      </c>
      <c r="B439" s="7">
        <v>676</v>
      </c>
      <c r="C439" s="7" t="s">
        <v>478</v>
      </c>
      <c r="D439" s="7" t="s">
        <v>164</v>
      </c>
      <c r="E439" s="7" t="s">
        <v>341</v>
      </c>
      <c r="F439" s="15">
        <f>[2]!Tabela15[[#This Row],[Preço PIS/Cofins/ICMS]]*1.1</f>
        <v>14.113000000000001</v>
      </c>
      <c r="G439" s="10"/>
    </row>
    <row r="440" spans="1:7" ht="15" customHeight="1" x14ac:dyDescent="0.25">
      <c r="A440" t="str">
        <f>IFERROR(VLOOKUP(Tabela15[[#This Row],[Produto]],[1]Planilha1!$K$3:$N$300,4,0),"NÃO")</f>
        <v>NÃO</v>
      </c>
      <c r="B440" s="7">
        <v>677</v>
      </c>
      <c r="C440" s="7" t="s">
        <v>479</v>
      </c>
      <c r="D440" s="7" t="s">
        <v>164</v>
      </c>
      <c r="E440" s="7" t="s">
        <v>341</v>
      </c>
      <c r="F440" s="15">
        <f>[2]!Tabela15[[#This Row],[Coluna1]]*1.1</f>
        <v>30.932000000000002</v>
      </c>
      <c r="G440" s="10"/>
    </row>
    <row r="441" spans="1:7" ht="15" customHeight="1" x14ac:dyDescent="0.25">
      <c r="A441" t="str">
        <f>IFERROR(VLOOKUP(Tabela15[[#This Row],[Produto]],[1]Planilha1!$K$3:$N$300,4,0),"NÃO")</f>
        <v>NÃO</v>
      </c>
      <c r="B441" s="7">
        <v>678</v>
      </c>
      <c r="C441" s="7" t="s">
        <v>480</v>
      </c>
      <c r="D441" s="7" t="s">
        <v>164</v>
      </c>
      <c r="E441" s="7" t="s">
        <v>472</v>
      </c>
      <c r="F441" s="15">
        <f>[2]!Tabela15[[#This Row],[Preço PIS/Cofins/ICMS]]*1.1</f>
        <v>8.3710000000000004</v>
      </c>
      <c r="G441" s="10"/>
    </row>
    <row r="442" spans="1:7" ht="15" customHeight="1" x14ac:dyDescent="0.25">
      <c r="A442" t="str">
        <f>IFERROR(VLOOKUP(Tabela15[[#This Row],[Produto]],[1]Planilha1!$K$3:$N$300,4,0),"NÃO")</f>
        <v>NÃO</v>
      </c>
      <c r="B442" s="7">
        <v>680</v>
      </c>
      <c r="C442" s="7" t="s">
        <v>481</v>
      </c>
      <c r="D442" s="7" t="s">
        <v>482</v>
      </c>
      <c r="E442" s="7" t="s">
        <v>483</v>
      </c>
      <c r="F442" s="15">
        <f>[2]!Tabela15[[#This Row],[Preço PIS/Cofins/ICMS]]*1.1</f>
        <v>18.788</v>
      </c>
      <c r="G442" s="10"/>
    </row>
    <row r="443" spans="1:7" ht="15" customHeight="1" x14ac:dyDescent="0.25">
      <c r="A443" t="str">
        <f>IFERROR(VLOOKUP(Tabela15[[#This Row],[Produto]],[1]Planilha1!$K$3:$N$300,4,0),"NÃO")</f>
        <v>NÃO</v>
      </c>
      <c r="B443" s="7">
        <v>681</v>
      </c>
      <c r="C443" s="7" t="s">
        <v>484</v>
      </c>
      <c r="D443" s="7" t="s">
        <v>482</v>
      </c>
      <c r="E443" s="7" t="s">
        <v>483</v>
      </c>
      <c r="F443" s="15">
        <f>[2]!Tabela15[[#This Row],[Preço PIS/Cofins/ICMS]]*1.1</f>
        <v>18.788</v>
      </c>
      <c r="G443" s="10"/>
    </row>
    <row r="444" spans="1:7" ht="15" customHeight="1" x14ac:dyDescent="0.25">
      <c r="A444" t="str">
        <f>IFERROR(VLOOKUP(Tabela15[[#This Row],[Produto]],[1]Planilha1!$K$3:$N$300,4,0),"NÃO")</f>
        <v>NÃO</v>
      </c>
      <c r="B444" s="7">
        <v>682</v>
      </c>
      <c r="C444" s="7" t="s">
        <v>485</v>
      </c>
      <c r="D444" s="7" t="s">
        <v>482</v>
      </c>
      <c r="E444" s="7" t="s">
        <v>483</v>
      </c>
      <c r="F444" s="15">
        <f>[2]!Tabela15[[#This Row],[Preço PIS/Cofins/ICMS]]*1.1</f>
        <v>18.788</v>
      </c>
      <c r="G444" s="10"/>
    </row>
    <row r="445" spans="1:7" ht="15" customHeight="1" x14ac:dyDescent="0.25">
      <c r="A445" t="str">
        <f>IFERROR(VLOOKUP(Tabela15[[#This Row],[Produto]],[1]Planilha1!$K$3:$N$300,4,0),"NÃO")</f>
        <v>NÃO</v>
      </c>
      <c r="B445" s="7">
        <v>683</v>
      </c>
      <c r="C445" s="7" t="s">
        <v>486</v>
      </c>
      <c r="D445" s="7" t="s">
        <v>482</v>
      </c>
      <c r="E445" s="7" t="s">
        <v>483</v>
      </c>
      <c r="F445" s="15">
        <f>[2]!Tabela15[[#This Row],[Preço PIS/Cofins/ICMS]]*1.1</f>
        <v>18.788</v>
      </c>
      <c r="G445" s="10"/>
    </row>
    <row r="446" spans="1:7" ht="15" customHeight="1" x14ac:dyDescent="0.25">
      <c r="A446" t="str">
        <f>IFERROR(VLOOKUP(Tabela15[[#This Row],[Produto]],[1]Planilha1!$K$3:$N$300,4,0),"NÃO")</f>
        <v>NÃO</v>
      </c>
      <c r="B446" s="7">
        <v>700</v>
      </c>
      <c r="C446" s="7" t="s">
        <v>487</v>
      </c>
      <c r="D446" s="7" t="s">
        <v>83</v>
      </c>
      <c r="E446" s="7" t="s">
        <v>400</v>
      </c>
      <c r="F446" s="15">
        <f>[2]!Tabela15[[#This Row],[Coluna1]]*1.1</f>
        <v>12.628000000000002</v>
      </c>
      <c r="G446" s="10"/>
    </row>
    <row r="447" spans="1:7" ht="15" customHeight="1" x14ac:dyDescent="0.25">
      <c r="A447" t="str">
        <f>IFERROR(VLOOKUP(Tabela15[[#This Row],[Produto]],[1]Planilha1!$K$3:$N$300,4,0),"NÃO")</f>
        <v>NÃO</v>
      </c>
      <c r="B447" s="7">
        <v>701</v>
      </c>
      <c r="C447" s="7" t="s">
        <v>488</v>
      </c>
      <c r="D447" s="7" t="s">
        <v>83</v>
      </c>
      <c r="E447" s="7" t="s">
        <v>400</v>
      </c>
      <c r="F447" s="15">
        <f>[2]!Tabela15[[#This Row],[Coluna1]]*1.1</f>
        <v>11.176000000000002</v>
      </c>
      <c r="G447" s="10"/>
    </row>
    <row r="448" spans="1:7" ht="15" customHeight="1" x14ac:dyDescent="0.25">
      <c r="A448" t="str">
        <f>IFERROR(VLOOKUP(Tabela15[[#This Row],[Produto]],[1]Planilha1!$K$3:$N$300,4,0),"NÃO")</f>
        <v>NÃO</v>
      </c>
      <c r="B448" s="7">
        <v>702</v>
      </c>
      <c r="C448" s="7" t="s">
        <v>489</v>
      </c>
      <c r="D448" s="7" t="s">
        <v>83</v>
      </c>
      <c r="E448" s="7" t="s">
        <v>400</v>
      </c>
      <c r="F448" s="15">
        <f>[2]!Tabela15[[#This Row],[Preço PIS/Cofins/ICMS]]*1.1</f>
        <v>17.677000000000003</v>
      </c>
      <c r="G448" s="10"/>
    </row>
    <row r="449" spans="1:7" ht="15" customHeight="1" x14ac:dyDescent="0.25">
      <c r="A449" t="str">
        <f>IFERROR(VLOOKUP(Tabela15[[#This Row],[Produto]],[1]Planilha1!$K$3:$N$300,4,0),"NÃO")</f>
        <v>NÃO</v>
      </c>
      <c r="B449" s="7">
        <v>704</v>
      </c>
      <c r="C449" s="7" t="s">
        <v>490</v>
      </c>
      <c r="D449" s="7" t="s">
        <v>83</v>
      </c>
      <c r="E449" s="7" t="s">
        <v>400</v>
      </c>
      <c r="F449" s="15">
        <f>[2]!Tabela15[[#This Row],[Preço PIS/Cofins/ICMS]]*1.1</f>
        <v>17.765000000000001</v>
      </c>
      <c r="G449" s="10"/>
    </row>
    <row r="450" spans="1:7" ht="15" customHeight="1" x14ac:dyDescent="0.25">
      <c r="A450" t="str">
        <f>IFERROR(VLOOKUP(Tabela15[[#This Row],[Produto]],[1]Planilha1!$K$3:$N$300,4,0),"NÃO")</f>
        <v>NÃO</v>
      </c>
      <c r="B450" s="7">
        <v>708</v>
      </c>
      <c r="C450" s="7" t="s">
        <v>491</v>
      </c>
      <c r="D450" s="7" t="s">
        <v>83</v>
      </c>
      <c r="E450" s="7" t="s">
        <v>400</v>
      </c>
      <c r="F450" s="15">
        <f>[2]!Tabela15[[#This Row],[Preço PIS/Cofins/ICMS]]*1.1</f>
        <v>13.002000000000001</v>
      </c>
      <c r="G450" s="10"/>
    </row>
    <row r="451" spans="1:7" ht="15" customHeight="1" x14ac:dyDescent="0.25">
      <c r="A451" t="str">
        <f>IFERROR(VLOOKUP(Tabela15[[#This Row],[Produto]],[1]Planilha1!$K$3:$N$300,4,0),"NÃO")</f>
        <v>NÃO</v>
      </c>
      <c r="B451" s="7">
        <v>709</v>
      </c>
      <c r="C451" s="7" t="s">
        <v>492</v>
      </c>
      <c r="D451" s="7" t="s">
        <v>83</v>
      </c>
      <c r="E451" s="7" t="s">
        <v>400</v>
      </c>
      <c r="F451" s="15">
        <f>[2]!Tabela15[[#This Row],[Preço PIS/Cofins/ICMS]]*1.1</f>
        <v>20.537000000000003</v>
      </c>
      <c r="G451" s="10"/>
    </row>
    <row r="452" spans="1:7" ht="15" customHeight="1" x14ac:dyDescent="0.25">
      <c r="A452" t="str">
        <f>IFERROR(VLOOKUP(Tabela15[[#This Row],[Produto]],[1]Planilha1!$K$3:$N$300,4,0),"NÃO")</f>
        <v>NÃO</v>
      </c>
      <c r="B452" s="7">
        <v>710</v>
      </c>
      <c r="C452" s="7" t="s">
        <v>493</v>
      </c>
      <c r="D452" s="7" t="s">
        <v>83</v>
      </c>
      <c r="E452" s="7" t="s">
        <v>400</v>
      </c>
      <c r="F452" s="15">
        <f>[2]!Tabela15[[#This Row],[Preço PIS/Cofins/ICMS]]*1.1</f>
        <v>26.213000000000001</v>
      </c>
      <c r="G452" s="10"/>
    </row>
    <row r="453" spans="1:7" ht="15" customHeight="1" x14ac:dyDescent="0.25">
      <c r="A453" t="str">
        <f>IFERROR(VLOOKUP(Tabela15[[#This Row],[Produto]],[1]Planilha1!$K$3:$N$300,4,0),"NÃO")</f>
        <v>NÃO</v>
      </c>
      <c r="B453" s="7">
        <v>714</v>
      </c>
      <c r="C453" s="7" t="s">
        <v>494</v>
      </c>
      <c r="D453" s="7" t="s">
        <v>83</v>
      </c>
      <c r="E453" s="7" t="s">
        <v>404</v>
      </c>
      <c r="F453" s="15">
        <f>[2]!Tabela15[[#This Row],[Preço PIS/Cofins/ICMS]]*1.1</f>
        <v>50.864000000000004</v>
      </c>
      <c r="G453" s="10"/>
    </row>
    <row r="454" spans="1:7" ht="15" customHeight="1" x14ac:dyDescent="0.25">
      <c r="A454" t="str">
        <f>IFERROR(VLOOKUP(Tabela15[[#This Row],[Produto]],[1]Planilha1!$K$3:$N$300,4,0),"NÃO")</f>
        <v>NÃO</v>
      </c>
      <c r="B454" s="7">
        <v>716</v>
      </c>
      <c r="C454" s="7" t="s">
        <v>495</v>
      </c>
      <c r="D454" s="7" t="s">
        <v>83</v>
      </c>
      <c r="E454" s="7" t="s">
        <v>404</v>
      </c>
      <c r="F454" s="15">
        <f>[2]!Tabela15[[#This Row],[Preço PIS/Cofins/ICMS]]*1.1</f>
        <v>92.664000000000001</v>
      </c>
      <c r="G454" s="10"/>
    </row>
    <row r="455" spans="1:7" ht="15" customHeight="1" x14ac:dyDescent="0.25">
      <c r="A455" t="str">
        <f>IFERROR(VLOOKUP(Tabela15[[#This Row],[Produto]],[1]Planilha1!$K$3:$N$300,4,0),"NÃO")</f>
        <v>NÃO</v>
      </c>
      <c r="B455" s="7">
        <v>718</v>
      </c>
      <c r="C455" s="7" t="s">
        <v>496</v>
      </c>
      <c r="D455" s="7" t="s">
        <v>83</v>
      </c>
      <c r="E455" s="7" t="s">
        <v>404</v>
      </c>
      <c r="F455" s="15">
        <f>[2]!Tabela15[[#This Row],[Preço PIS/Cofins/ICMS]]*1.1</f>
        <v>179.542</v>
      </c>
      <c r="G455" s="10"/>
    </row>
    <row r="456" spans="1:7" ht="15" customHeight="1" x14ac:dyDescent="0.25">
      <c r="A456" t="str">
        <f>IFERROR(VLOOKUP(Tabela15[[#This Row],[Produto]],[1]Planilha1!$K$3:$N$300,4,0),"NÃO")</f>
        <v>NÃO</v>
      </c>
      <c r="B456" s="7">
        <v>720</v>
      </c>
      <c r="C456" s="7" t="s">
        <v>497</v>
      </c>
      <c r="D456" s="7" t="s">
        <v>83</v>
      </c>
      <c r="E456" s="7" t="s">
        <v>404</v>
      </c>
      <c r="F456" s="15">
        <f>[2]!Tabela15[[#This Row],[Preço PIS/Cofins/ICMS]]*1.1</f>
        <v>28.787000000000003</v>
      </c>
      <c r="G456" s="10"/>
    </row>
    <row r="457" spans="1:7" ht="15" customHeight="1" x14ac:dyDescent="0.25">
      <c r="A457" t="str">
        <f>IFERROR(VLOOKUP(Tabela15[[#This Row],[Produto]],[1]Planilha1!$K$3:$N$300,4,0),"NÃO")</f>
        <v>NÃO</v>
      </c>
      <c r="B457" s="7">
        <v>722</v>
      </c>
      <c r="C457" s="7" t="s">
        <v>498</v>
      </c>
      <c r="D457" s="7" t="s">
        <v>83</v>
      </c>
      <c r="E457" s="7" t="s">
        <v>404</v>
      </c>
      <c r="F457" s="15">
        <f>[2]!Tabela15[[#This Row],[Preço PIS/Cofins/ICMS]]*1.1</f>
        <v>57.057000000000002</v>
      </c>
      <c r="G457" s="10"/>
    </row>
    <row r="458" spans="1:7" ht="15" customHeight="1" x14ac:dyDescent="0.25">
      <c r="A458" t="str">
        <f>IFERROR(VLOOKUP(Tabela15[[#This Row],[Produto]],[1]Planilha1!$K$3:$N$300,4,0),"NÃO")</f>
        <v>NÃO</v>
      </c>
      <c r="B458" s="7">
        <v>724</v>
      </c>
      <c r="C458" s="7" t="s">
        <v>499</v>
      </c>
      <c r="D458" s="7" t="s">
        <v>83</v>
      </c>
      <c r="E458" s="7" t="s">
        <v>404</v>
      </c>
      <c r="F458" s="15">
        <f>[2]!Tabela15[[#This Row],[Preço PIS/Cofins/ICMS]]*1.1</f>
        <v>36.652000000000001</v>
      </c>
      <c r="G458" s="10"/>
    </row>
    <row r="459" spans="1:7" ht="15" customHeight="1" x14ac:dyDescent="0.25">
      <c r="A459" t="str">
        <f>IFERROR(VLOOKUP(Tabela15[[#This Row],[Produto]],[1]Planilha1!$K$3:$N$300,4,0),"NÃO")</f>
        <v>NÃO</v>
      </c>
      <c r="B459" s="7">
        <v>726</v>
      </c>
      <c r="C459" s="7" t="s">
        <v>500</v>
      </c>
      <c r="D459" s="7" t="s">
        <v>83</v>
      </c>
      <c r="E459" s="7" t="s">
        <v>404</v>
      </c>
      <c r="F459" s="15">
        <f>[2]!Tabela15[[#This Row],[Preço PIS/Cofins/ICMS]]*1.1</f>
        <v>103.32300000000002</v>
      </c>
      <c r="G459" s="10"/>
    </row>
    <row r="460" spans="1:7" ht="15" customHeight="1" x14ac:dyDescent="0.25">
      <c r="B460" s="7">
        <v>727</v>
      </c>
      <c r="C460" s="7" t="s">
        <v>501</v>
      </c>
      <c r="D460" s="7" t="s">
        <v>482</v>
      </c>
      <c r="E460" s="7" t="s">
        <v>502</v>
      </c>
      <c r="F460" s="15">
        <f>[2]!Tabela15[[#This Row],[Preço PIS/Cofins/ICMS]]*1.1</f>
        <v>6.9409999999999998</v>
      </c>
      <c r="G460" s="10"/>
    </row>
    <row r="461" spans="1:7" ht="15" customHeight="1" x14ac:dyDescent="0.25">
      <c r="A461" t="str">
        <f>IFERROR(VLOOKUP(Tabela15[[#This Row],[Produto]],[1]Planilha1!$K$3:$N$300,4,0),"NÃO")</f>
        <v>NÃO</v>
      </c>
      <c r="B461" s="7">
        <v>728</v>
      </c>
      <c r="C461" s="7" t="s">
        <v>503</v>
      </c>
      <c r="D461" s="7" t="s">
        <v>83</v>
      </c>
      <c r="E461" s="7" t="s">
        <v>400</v>
      </c>
      <c r="F461" s="15">
        <f>[2]!Tabela15[[#This Row],[Preço PIS/Cofins/ICMS]]*1.1</f>
        <v>19.404000000000003</v>
      </c>
      <c r="G461" s="10"/>
    </row>
    <row r="462" spans="1:7" ht="15" customHeight="1" x14ac:dyDescent="0.25">
      <c r="A462" t="str">
        <f>IFERROR(VLOOKUP(Tabela15[[#This Row],[Produto]],[1]Planilha1!$K$3:$N$300,4,0),"NÃO")</f>
        <v>NÃO</v>
      </c>
      <c r="B462" s="7">
        <v>729</v>
      </c>
      <c r="C462" s="7" t="s">
        <v>504</v>
      </c>
      <c r="D462" s="7" t="s">
        <v>83</v>
      </c>
      <c r="E462" s="7" t="s">
        <v>400</v>
      </c>
      <c r="F462" s="15">
        <f>[2]!Tabela15[[#This Row],[Preço PIS/Cofins/ICMS]]*1.1</f>
        <v>29.458000000000002</v>
      </c>
      <c r="G462" s="10"/>
    </row>
    <row r="463" spans="1:7" ht="15" customHeight="1" x14ac:dyDescent="0.25">
      <c r="A463" t="str">
        <f>IFERROR(VLOOKUP(Tabela15[[#This Row],[Produto]],[1]Planilha1!$K$3:$N$300,4,0),"NÃO")</f>
        <v>NÃO</v>
      </c>
      <c r="B463" s="7">
        <v>730</v>
      </c>
      <c r="C463" s="7" t="s">
        <v>505</v>
      </c>
      <c r="D463" s="7" t="s">
        <v>482</v>
      </c>
      <c r="E463" s="7" t="s">
        <v>502</v>
      </c>
      <c r="F463" s="15">
        <f>[2]!Tabela15[[#This Row],[Preço PIS/Cofins/ICMS]]*1.1</f>
        <v>6.4460000000000006</v>
      </c>
      <c r="G463" s="10"/>
    </row>
    <row r="464" spans="1:7" ht="15" customHeight="1" x14ac:dyDescent="0.25">
      <c r="A464" t="str">
        <f>IFERROR(VLOOKUP(Tabela15[[#This Row],[Produto]],[1]Planilha1!$K$3:$N$300,4,0),"NÃO")</f>
        <v>NÃO</v>
      </c>
      <c r="B464" s="7">
        <v>731</v>
      </c>
      <c r="C464" s="7" t="s">
        <v>506</v>
      </c>
      <c r="D464" s="7" t="s">
        <v>482</v>
      </c>
      <c r="E464" s="7" t="s">
        <v>502</v>
      </c>
      <c r="F464" s="15">
        <f>[2]!Tabela15[[#This Row],[Preço PIS/Cofins/ICMS]]*1.1</f>
        <v>6.6110000000000007</v>
      </c>
      <c r="G464" s="10"/>
    </row>
    <row r="465" spans="1:7" ht="15" customHeight="1" x14ac:dyDescent="0.25">
      <c r="A465" t="str">
        <f>IFERROR(VLOOKUP(Tabela15[[#This Row],[Produto]],[1]Planilha1!$K$3:$N$300,4,0),"NÃO")</f>
        <v>NÃO</v>
      </c>
      <c r="B465" s="7">
        <v>732</v>
      </c>
      <c r="C465" s="7" t="s">
        <v>507</v>
      </c>
      <c r="D465" s="7" t="s">
        <v>482</v>
      </c>
      <c r="E465" s="7" t="s">
        <v>502</v>
      </c>
      <c r="F465" s="15">
        <f>[2]!Tabela15[[#This Row],[Preço PIS/Cofins/ICMS]]*1.1</f>
        <v>4.5760000000000005</v>
      </c>
      <c r="G465" s="10"/>
    </row>
    <row r="466" spans="1:7" ht="15" customHeight="1" x14ac:dyDescent="0.25">
      <c r="A466" t="str">
        <f>IFERROR(VLOOKUP(Tabela15[[#This Row],[Produto]],[1]Planilha1!$K$3:$N$300,4,0),"NÃO")</f>
        <v>NÃO</v>
      </c>
      <c r="B466" s="7">
        <v>737</v>
      </c>
      <c r="C466" s="7" t="s">
        <v>508</v>
      </c>
      <c r="D466" s="7" t="s">
        <v>482</v>
      </c>
      <c r="E466" s="7" t="s">
        <v>509</v>
      </c>
      <c r="F466" s="15">
        <f>[2]!Tabela15[[#This Row],[Preço PIS/Cofins/ICMS]]*1.1</f>
        <v>2.4530000000000003</v>
      </c>
      <c r="G466" s="10"/>
    </row>
    <row r="467" spans="1:7" ht="15" customHeight="1" x14ac:dyDescent="0.25">
      <c r="A467" t="str">
        <f>IFERROR(VLOOKUP(Tabela15[[#This Row],[Produto]],[1]Planilha1!$K$3:$N$300,4,0),"NÃO")</f>
        <v>NÃO</v>
      </c>
      <c r="B467" s="7">
        <v>738</v>
      </c>
      <c r="C467" s="7" t="s">
        <v>510</v>
      </c>
      <c r="D467" s="7" t="s">
        <v>482</v>
      </c>
      <c r="E467" s="7" t="s">
        <v>509</v>
      </c>
      <c r="F467" s="15">
        <f>[2]!Tabela15[[#This Row],[Preço PIS/Cofins/ICMS]]*1.1</f>
        <v>2.1339999999999999</v>
      </c>
      <c r="G467" s="10"/>
    </row>
    <row r="468" spans="1:7" ht="15" customHeight="1" x14ac:dyDescent="0.25">
      <c r="A468" t="str">
        <f>IFERROR(VLOOKUP(Tabela15[[#This Row],[Produto]],[1]Planilha1!$K$3:$N$300,4,0),"NÃO")</f>
        <v>NÃO</v>
      </c>
      <c r="B468" s="7">
        <v>741</v>
      </c>
      <c r="C468" s="7" t="s">
        <v>511</v>
      </c>
      <c r="D468" s="7" t="s">
        <v>482</v>
      </c>
      <c r="E468" s="7" t="s">
        <v>512</v>
      </c>
      <c r="F468" s="15">
        <f>[2]!Tabela15[[#This Row],[Preço PIS/Cofins/ICMS]]*1.1</f>
        <v>3.0250000000000004</v>
      </c>
      <c r="G468" s="10"/>
    </row>
    <row r="469" spans="1:7" ht="15" customHeight="1" x14ac:dyDescent="0.25">
      <c r="A469" t="str">
        <f>IFERROR(VLOOKUP(Tabela15[[#This Row],[Produto]],[1]Planilha1!$K$3:$N$300,4,0),"NÃO")</f>
        <v>NÃO</v>
      </c>
      <c r="B469" s="7">
        <v>742</v>
      </c>
      <c r="C469" s="7" t="s">
        <v>513</v>
      </c>
      <c r="D469" s="7" t="s">
        <v>482</v>
      </c>
      <c r="E469" s="7" t="s">
        <v>512</v>
      </c>
      <c r="F469" s="15">
        <f>[2]!Tabela15[[#This Row],[Preço PIS/Cofins/ICMS]]*1.1</f>
        <v>2.915</v>
      </c>
      <c r="G469" s="10"/>
    </row>
    <row r="470" spans="1:7" ht="15" customHeight="1" x14ac:dyDescent="0.25">
      <c r="A470" t="str">
        <f>IFERROR(VLOOKUP(Tabela15[[#This Row],[Produto]],[1]Planilha1!$K$3:$N$300,4,0),"NÃO")</f>
        <v>NÃO</v>
      </c>
      <c r="B470" s="7">
        <v>743</v>
      </c>
      <c r="C470" s="7" t="s">
        <v>514</v>
      </c>
      <c r="D470" s="7" t="s">
        <v>482</v>
      </c>
      <c r="E470" s="7" t="s">
        <v>512</v>
      </c>
      <c r="F470" s="15">
        <f>[2]!Tabela15[[#This Row],[Preço PIS/Cofins/ICMS]]*1.1</f>
        <v>3.4320000000000004</v>
      </c>
      <c r="G470" s="10"/>
    </row>
    <row r="471" spans="1:7" ht="15" customHeight="1" x14ac:dyDescent="0.25">
      <c r="A471" t="str">
        <f>IFERROR(VLOOKUP(Tabela15[[#This Row],[Produto]],[1]Planilha1!$K$3:$N$300,4,0),"NÃO")</f>
        <v>NÃO</v>
      </c>
      <c r="B471" s="7">
        <v>744</v>
      </c>
      <c r="C471" s="7" t="s">
        <v>515</v>
      </c>
      <c r="D471" s="7" t="s">
        <v>482</v>
      </c>
      <c r="E471" s="7" t="s">
        <v>512</v>
      </c>
      <c r="F471" s="15">
        <f>[2]!Tabela15[[#This Row],[Preço PIS/Cofins/ICMS]]*1.1</f>
        <v>3.9490000000000003</v>
      </c>
      <c r="G471" s="10"/>
    </row>
    <row r="472" spans="1:7" ht="15" customHeight="1" x14ac:dyDescent="0.25">
      <c r="A472" t="str">
        <f>IFERROR(VLOOKUP(Tabela15[[#This Row],[Produto]],[1]Planilha1!$K$3:$N$300,4,0),"NÃO")</f>
        <v>NÃO</v>
      </c>
      <c r="B472" s="7">
        <v>745</v>
      </c>
      <c r="C472" s="7" t="s">
        <v>516</v>
      </c>
      <c r="D472" s="7" t="s">
        <v>482</v>
      </c>
      <c r="E472" s="7" t="s">
        <v>512</v>
      </c>
      <c r="F472" s="15">
        <f>[2]!Tabela15[[#This Row],[Preço PIS/Cofins/ICMS]]*1.1</f>
        <v>6.0609999999999999</v>
      </c>
      <c r="G472" s="10"/>
    </row>
    <row r="473" spans="1:7" ht="15" customHeight="1" x14ac:dyDescent="0.25">
      <c r="A473" t="str">
        <f>IFERROR(VLOOKUP(Tabela15[[#This Row],[Produto]],[1]Planilha1!$K$3:$N$300,4,0),"NÃO")</f>
        <v>NÃO</v>
      </c>
      <c r="B473" s="7">
        <v>750</v>
      </c>
      <c r="C473" s="7" t="s">
        <v>517</v>
      </c>
      <c r="D473" s="7" t="s">
        <v>482</v>
      </c>
      <c r="E473" s="7" t="s">
        <v>518</v>
      </c>
      <c r="F473" s="15">
        <f>[2]!Tabela15[[#This Row],[Preço PIS/Cofins/ICMS]]*1.1</f>
        <v>6.5890000000000004</v>
      </c>
      <c r="G473" s="10"/>
    </row>
    <row r="474" spans="1:7" ht="15" customHeight="1" x14ac:dyDescent="0.25">
      <c r="A474" t="str">
        <f>IFERROR(VLOOKUP(Tabela15[[#This Row],[Produto]],[1]Planilha1!$K$3:$N$300,4,0),"NÃO")</f>
        <v>NÃO</v>
      </c>
      <c r="B474" s="7">
        <v>751</v>
      </c>
      <c r="C474" s="7" t="s">
        <v>518</v>
      </c>
      <c r="D474" s="7" t="s">
        <v>482</v>
      </c>
      <c r="E474" s="7" t="s">
        <v>518</v>
      </c>
      <c r="F474" s="15">
        <f>[2]!Tabela15[[#This Row],[Preço PIS/Cofins/ICMS]]*1.1</f>
        <v>6.8640000000000008</v>
      </c>
      <c r="G474" s="10"/>
    </row>
    <row r="475" spans="1:7" ht="15" customHeight="1" x14ac:dyDescent="0.25">
      <c r="A475" t="str">
        <f>IFERROR(VLOOKUP(Tabela15[[#This Row],[Produto]],[1]Planilha1!$K$3:$N$300,4,0),"NÃO")</f>
        <v>NÃO</v>
      </c>
      <c r="B475" s="7">
        <v>752</v>
      </c>
      <c r="C475" s="7" t="s">
        <v>519</v>
      </c>
      <c r="D475" s="7" t="s">
        <v>482</v>
      </c>
      <c r="E475" s="7" t="s">
        <v>520</v>
      </c>
      <c r="F475" s="15">
        <f>[2]!Tabela15[[#This Row],[Preço PIS/Cofins/ICMS]]*1.1</f>
        <v>5.6650000000000009</v>
      </c>
      <c r="G475" s="10"/>
    </row>
    <row r="476" spans="1:7" ht="15" customHeight="1" x14ac:dyDescent="0.25">
      <c r="A476" t="str">
        <f>IFERROR(VLOOKUP(Tabela15[[#This Row],[Produto]],[1]Planilha1!$K$3:$N$300,4,0),"NÃO")</f>
        <v>NÃO</v>
      </c>
      <c r="B476" s="7">
        <v>753</v>
      </c>
      <c r="C476" s="7" t="s">
        <v>521</v>
      </c>
      <c r="D476" s="7" t="s">
        <v>482</v>
      </c>
      <c r="E476" s="7" t="s">
        <v>520</v>
      </c>
      <c r="F476" s="15">
        <f>[2]!Tabela15[[#This Row],[Preço PIS/Cofins/ICMS]]*1.1</f>
        <v>5.4010000000000007</v>
      </c>
      <c r="G476" s="10"/>
    </row>
    <row r="477" spans="1:7" ht="15" customHeight="1" x14ac:dyDescent="0.25">
      <c r="A477" t="str">
        <f>IFERROR(VLOOKUP(Tabela15[[#This Row],[Produto]],[1]Planilha1!$K$3:$N$300,4,0),"NÃO")</f>
        <v>NÃO</v>
      </c>
      <c r="B477" s="7">
        <v>770</v>
      </c>
      <c r="C477" s="7" t="s">
        <v>522</v>
      </c>
      <c r="D477" s="7" t="s">
        <v>482</v>
      </c>
      <c r="E477" s="7" t="s">
        <v>523</v>
      </c>
      <c r="F477" s="15">
        <f>[2]!Tabela15[[#This Row],[Preço PIS/Cofins/ICMS]]*1.1</f>
        <v>5.5220000000000002</v>
      </c>
      <c r="G477" s="10"/>
    </row>
    <row r="478" spans="1:7" ht="15" customHeight="1" x14ac:dyDescent="0.25">
      <c r="A478" t="str">
        <f>IFERROR(VLOOKUP(Tabela15[[#This Row],[Produto]],[1]Planilha1!$K$3:$N$300,4,0),"NÃO")</f>
        <v>NÃO</v>
      </c>
      <c r="B478" s="7">
        <v>771</v>
      </c>
      <c r="C478" s="7" t="s">
        <v>524</v>
      </c>
      <c r="D478" s="7" t="s">
        <v>482</v>
      </c>
      <c r="E478" s="7" t="s">
        <v>523</v>
      </c>
      <c r="F478" s="15">
        <f>[2]!Tabela15[[#This Row],[Preço PIS/Cofins/ICMS]]*1.1</f>
        <v>5.5220000000000002</v>
      </c>
      <c r="G478" s="10"/>
    </row>
    <row r="479" spans="1:7" ht="15" customHeight="1" x14ac:dyDescent="0.25">
      <c r="A479" t="str">
        <f>IFERROR(VLOOKUP(Tabela15[[#This Row],[Produto]],[1]Planilha1!$K$3:$N$300,4,0),"NÃO")</f>
        <v>NÃO</v>
      </c>
      <c r="B479" s="7">
        <v>772</v>
      </c>
      <c r="C479" s="7" t="s">
        <v>525</v>
      </c>
      <c r="D479" s="7" t="s">
        <v>482</v>
      </c>
      <c r="E479" s="7" t="s">
        <v>523</v>
      </c>
      <c r="F479" s="15">
        <f>[2]!Tabela15[[#This Row],[Preço PIS/Cofins/ICMS]]*1.1</f>
        <v>5.5220000000000002</v>
      </c>
      <c r="G479" s="10"/>
    </row>
    <row r="480" spans="1:7" ht="15" customHeight="1" x14ac:dyDescent="0.25">
      <c r="A480" t="str">
        <f>IFERROR(VLOOKUP(Tabela15[[#This Row],[Produto]],[1]Planilha1!$K$3:$N$300,4,0),"NÃO")</f>
        <v>NÃO</v>
      </c>
      <c r="B480" s="7">
        <v>773</v>
      </c>
      <c r="C480" s="7" t="s">
        <v>526</v>
      </c>
      <c r="D480" s="7" t="s">
        <v>482</v>
      </c>
      <c r="E480" s="7" t="s">
        <v>523</v>
      </c>
      <c r="F480" s="15">
        <f>[2]!Tabela15[[#This Row],[Preço PIS/Cofins/ICMS]]*1.1</f>
        <v>5.5220000000000002</v>
      </c>
      <c r="G480" s="10"/>
    </row>
    <row r="481" spans="1:7" ht="15" customHeight="1" x14ac:dyDescent="0.25">
      <c r="A481" t="str">
        <f>IFERROR(VLOOKUP(Tabela15[[#This Row],[Produto]],[1]Planilha1!$K$3:$N$300,4,0),"NÃO")</f>
        <v>NÃO</v>
      </c>
      <c r="B481" s="7">
        <v>781</v>
      </c>
      <c r="C481" s="7" t="s">
        <v>527</v>
      </c>
      <c r="D481" s="7" t="s">
        <v>482</v>
      </c>
      <c r="E481" s="7" t="s">
        <v>528</v>
      </c>
      <c r="F481" s="15">
        <f>[2]!Tabela15[[#This Row],[Preço PIS/Cofins/ICMS]]*1.1</f>
        <v>5.5550000000000006</v>
      </c>
      <c r="G481" s="10"/>
    </row>
    <row r="482" spans="1:7" ht="15" customHeight="1" x14ac:dyDescent="0.25">
      <c r="A482" t="str">
        <f>IFERROR(VLOOKUP(Tabela15[[#This Row],[Produto]],[1]Planilha1!$K$3:$N$300,4,0),"NÃO")</f>
        <v>NÃO</v>
      </c>
      <c r="B482" s="7">
        <v>786</v>
      </c>
      <c r="C482" s="7" t="s">
        <v>529</v>
      </c>
      <c r="D482" s="7" t="s">
        <v>482</v>
      </c>
      <c r="E482" s="7" t="s">
        <v>530</v>
      </c>
      <c r="F482" s="15">
        <f>[2]!Tabela15[[#This Row],[Preço PIS/Cofins/ICMS]]*1.1</f>
        <v>1.4630000000000003</v>
      </c>
      <c r="G482" s="10"/>
    </row>
    <row r="483" spans="1:7" ht="15" customHeight="1" x14ac:dyDescent="0.25">
      <c r="A483" t="str">
        <f>IFERROR(VLOOKUP(Tabela15[[#This Row],[Produto]],[1]Planilha1!$K$3:$N$300,4,0),"NÃO")</f>
        <v>NÃO</v>
      </c>
      <c r="B483" s="7">
        <v>787</v>
      </c>
      <c r="C483" s="7" t="s">
        <v>531</v>
      </c>
      <c r="D483" s="7" t="s">
        <v>482</v>
      </c>
      <c r="E483" s="7" t="s">
        <v>530</v>
      </c>
      <c r="F483" s="15">
        <f>[2]!Tabela15[[#This Row],[Preço PIS/Cofins/ICMS]]*1.1</f>
        <v>8.6900000000000013</v>
      </c>
      <c r="G483" s="10"/>
    </row>
    <row r="484" spans="1:7" ht="15" customHeight="1" x14ac:dyDescent="0.25">
      <c r="A484" t="str">
        <f>IFERROR(VLOOKUP(Tabela15[[#This Row],[Produto]],[1]Planilha1!$K$3:$N$300,4,0),"NÃO")</f>
        <v>NÃO</v>
      </c>
      <c r="B484" s="7">
        <v>788</v>
      </c>
      <c r="C484" s="7" t="s">
        <v>532</v>
      </c>
      <c r="D484" s="7" t="s">
        <v>482</v>
      </c>
      <c r="E484" s="7" t="s">
        <v>530</v>
      </c>
      <c r="F484" s="15">
        <f>[2]!Tabela15[[#This Row],[Preço PIS/Cofins/ICMS]]*1.1</f>
        <v>6.0940000000000003</v>
      </c>
      <c r="G484" s="10"/>
    </row>
    <row r="485" spans="1:7" ht="15" customHeight="1" x14ac:dyDescent="0.25">
      <c r="A485" t="str">
        <f>IFERROR(VLOOKUP(Tabela15[[#This Row],[Produto]],[1]Planilha1!$K$3:$N$300,4,0),"NÃO")</f>
        <v>NÃO</v>
      </c>
      <c r="B485" s="7">
        <v>790</v>
      </c>
      <c r="C485" s="7" t="s">
        <v>533</v>
      </c>
      <c r="D485" s="7" t="s">
        <v>13</v>
      </c>
      <c r="E485" s="7" t="s">
        <v>534</v>
      </c>
      <c r="F485" s="15">
        <f>[2]!Tabela15[[#This Row],[Preço PIS/Cofins/ICMS]]*1.1</f>
        <v>9.548</v>
      </c>
      <c r="G485" s="10"/>
    </row>
    <row r="486" spans="1:7" ht="15" customHeight="1" x14ac:dyDescent="0.25">
      <c r="A486" t="str">
        <f>IFERROR(VLOOKUP(Tabela15[[#This Row],[Produto]],[1]Planilha1!$K$3:$N$300,4,0),"NÃO")</f>
        <v>NÃO</v>
      </c>
      <c r="B486" s="7">
        <v>791</v>
      </c>
      <c r="C486" s="7" t="s">
        <v>535</v>
      </c>
      <c r="D486" s="7" t="s">
        <v>13</v>
      </c>
      <c r="E486" s="7" t="s">
        <v>534</v>
      </c>
      <c r="F486" s="15">
        <f>[2]!Tabela15[[#This Row],[Preço PIS/Cofins/ICMS]]*1.1</f>
        <v>10.516000000000002</v>
      </c>
      <c r="G486" s="10"/>
    </row>
    <row r="487" spans="1:7" ht="15" customHeight="1" x14ac:dyDescent="0.25">
      <c r="A487" t="str">
        <f>IFERROR(VLOOKUP(Tabela15[[#This Row],[Produto]],[1]Planilha1!$K$3:$N$300,4,0),"NÃO")</f>
        <v>NÃO</v>
      </c>
      <c r="B487" s="7">
        <v>792</v>
      </c>
      <c r="C487" s="7" t="s">
        <v>536</v>
      </c>
      <c r="D487" s="7" t="s">
        <v>13</v>
      </c>
      <c r="E487" s="7" t="s">
        <v>534</v>
      </c>
      <c r="F487" s="15">
        <f>[2]!Tabela15[[#This Row],[Preço PIS/Cofins/ICMS]]*1.1</f>
        <v>12.254000000000001</v>
      </c>
      <c r="G487" s="10"/>
    </row>
    <row r="488" spans="1:7" ht="15" customHeight="1" x14ac:dyDescent="0.25">
      <c r="A488" t="str">
        <f>IFERROR(VLOOKUP(Tabela15[[#This Row],[Produto]],[1]Planilha1!$K$3:$N$300,4,0),"NÃO")</f>
        <v>NÃO</v>
      </c>
      <c r="B488" s="7">
        <v>793</v>
      </c>
      <c r="C488" s="7" t="s">
        <v>537</v>
      </c>
      <c r="D488" s="7" t="s">
        <v>13</v>
      </c>
      <c r="E488" s="7" t="s">
        <v>534</v>
      </c>
      <c r="F488" s="15">
        <f>[2]!Tabela15[[#This Row],[Preço PIS/Cofins/ICMS]]*1.1</f>
        <v>5.3790000000000004</v>
      </c>
      <c r="G488" s="10"/>
    </row>
    <row r="489" spans="1:7" ht="15" customHeight="1" x14ac:dyDescent="0.25">
      <c r="A489" t="str">
        <f>IFERROR(VLOOKUP(Tabela15[[#This Row],[Produto]],[1]Planilha1!$K$3:$N$300,4,0),"NÃO")</f>
        <v>NÃO</v>
      </c>
      <c r="B489" s="7">
        <v>794</v>
      </c>
      <c r="C489" s="7" t="s">
        <v>538</v>
      </c>
      <c r="D489" s="7" t="s">
        <v>13</v>
      </c>
      <c r="E489" s="7" t="s">
        <v>534</v>
      </c>
      <c r="F489" s="15">
        <f>[2]!Tabela15[[#This Row],[Preço PIS/Cofins/ICMS]]*1.1</f>
        <v>17.16</v>
      </c>
      <c r="G489" s="10"/>
    </row>
    <row r="490" spans="1:7" ht="15" customHeight="1" x14ac:dyDescent="0.25">
      <c r="A490" t="str">
        <f>IFERROR(VLOOKUP(Tabela15[[#This Row],[Produto]],[1]Planilha1!$K$3:$N$300,4,0),"NÃO")</f>
        <v>NÃO</v>
      </c>
      <c r="B490" s="7">
        <v>798</v>
      </c>
      <c r="C490" s="7" t="s">
        <v>539</v>
      </c>
      <c r="D490" s="7" t="s">
        <v>482</v>
      </c>
      <c r="E490" s="7" t="s">
        <v>540</v>
      </c>
      <c r="F490" s="15">
        <f>[2]!Tabela15[[#This Row],[Preço PIS/Cofins/ICMS]]*1.1</f>
        <v>2.8600000000000003</v>
      </c>
      <c r="G490" s="10"/>
    </row>
    <row r="491" spans="1:7" ht="15" customHeight="1" x14ac:dyDescent="0.25">
      <c r="A491" t="str">
        <f>IFERROR(VLOOKUP(Tabela15[[#This Row],[Produto]],[1]Planilha1!$K$3:$N$300,4,0),"NÃO")</f>
        <v>NÃO</v>
      </c>
      <c r="B491" s="7">
        <v>806</v>
      </c>
      <c r="C491" s="7" t="s">
        <v>541</v>
      </c>
      <c r="D491" s="7" t="s">
        <v>482</v>
      </c>
      <c r="E491" s="7" t="s">
        <v>509</v>
      </c>
      <c r="F491" s="15">
        <f>[2]!Tabela15[[#This Row],[Preço PIS/Cofins/ICMS]]*1.1</f>
        <v>2.8600000000000003</v>
      </c>
      <c r="G491" s="10"/>
    </row>
    <row r="492" spans="1:7" ht="15" customHeight="1" x14ac:dyDescent="0.25">
      <c r="A492" t="str">
        <f>IFERROR(VLOOKUP(Tabela15[[#This Row],[Produto]],[1]Planilha1!$K$3:$N$300,4,0),"NÃO")</f>
        <v>NÃO</v>
      </c>
      <c r="B492" s="7">
        <v>807</v>
      </c>
      <c r="C492" s="7" t="s">
        <v>542</v>
      </c>
      <c r="D492" s="7" t="s">
        <v>482</v>
      </c>
      <c r="E492" s="7" t="s">
        <v>509</v>
      </c>
      <c r="F492" s="15">
        <f>[2]!Tabela15[[#This Row],[Preço PIS/Cofins/ICMS]]*1.1</f>
        <v>1.881</v>
      </c>
      <c r="G492" s="10"/>
    </row>
    <row r="493" spans="1:7" ht="15" customHeight="1" x14ac:dyDescent="0.25">
      <c r="A493" t="str">
        <f>IFERROR(VLOOKUP(Tabela15[[#This Row],[Produto]],[1]Planilha1!$K$3:$N$300,4,0),"NÃO")</f>
        <v>NÃO</v>
      </c>
      <c r="B493" s="7">
        <v>808</v>
      </c>
      <c r="C493" s="7" t="s">
        <v>543</v>
      </c>
      <c r="D493" s="7" t="s">
        <v>482</v>
      </c>
      <c r="E493" s="7" t="s">
        <v>509</v>
      </c>
      <c r="F493" s="15">
        <f>[2]!Tabela15[[#This Row],[Preço PIS/Cofins/ICMS]]*1.1</f>
        <v>1.2210000000000003</v>
      </c>
      <c r="G493" s="10"/>
    </row>
    <row r="494" spans="1:7" ht="15" customHeight="1" x14ac:dyDescent="0.25">
      <c r="A494" t="str">
        <f>IFERROR(VLOOKUP(Tabela15[[#This Row],[Produto]],[1]Planilha1!$K$3:$N$300,4,0),"NÃO")</f>
        <v>NÃO</v>
      </c>
      <c r="B494" s="7">
        <v>809</v>
      </c>
      <c r="C494" s="7" t="s">
        <v>544</v>
      </c>
      <c r="D494" s="7" t="s">
        <v>482</v>
      </c>
      <c r="E494" s="7" t="s">
        <v>509</v>
      </c>
      <c r="F494" s="15">
        <f>[2]!Tabela15[[#This Row],[Preço PIS/Cofins/ICMS]]*1.1</f>
        <v>4.9940000000000007</v>
      </c>
      <c r="G494" s="10"/>
    </row>
    <row r="495" spans="1:7" ht="15" customHeight="1" x14ac:dyDescent="0.25">
      <c r="A495" t="str">
        <f>IFERROR(VLOOKUP(Tabela15[[#This Row],[Produto]],[1]Planilha1!$K$3:$N$300,4,0),"NÃO")</f>
        <v>NÃO</v>
      </c>
      <c r="B495" s="7">
        <v>810</v>
      </c>
      <c r="C495" s="7" t="s">
        <v>545</v>
      </c>
      <c r="D495" s="7" t="s">
        <v>482</v>
      </c>
      <c r="E495" s="7" t="s">
        <v>509</v>
      </c>
      <c r="F495" s="15">
        <f>[2]!Tabela15[[#This Row],[Preço PIS/Cofins/ICMS]]*1.1</f>
        <v>2.7170000000000005</v>
      </c>
      <c r="G495" s="10"/>
    </row>
    <row r="496" spans="1:7" ht="15" customHeight="1" x14ac:dyDescent="0.25">
      <c r="A496" t="str">
        <f>IFERROR(VLOOKUP(Tabela15[[#This Row],[Produto]],[1]Planilha1!$K$3:$N$300,4,0),"NÃO")</f>
        <v>NÃO</v>
      </c>
      <c r="B496" s="7">
        <v>811</v>
      </c>
      <c r="C496" s="7" t="s">
        <v>546</v>
      </c>
      <c r="D496" s="7" t="s">
        <v>482</v>
      </c>
      <c r="E496" s="7" t="s">
        <v>509</v>
      </c>
      <c r="F496" s="15">
        <f>[2]!Tabela15[[#This Row],[Preço PIS/Cofins/ICMS]]*1.1</f>
        <v>3.8170000000000006</v>
      </c>
      <c r="G496" s="10"/>
    </row>
    <row r="497" spans="1:7" ht="15" customHeight="1" x14ac:dyDescent="0.25">
      <c r="A497" t="str">
        <f>IFERROR(VLOOKUP(Tabela15[[#This Row],[Produto]],[1]Planilha1!$K$3:$N$300,4,0),"NÃO")</f>
        <v>NÃO</v>
      </c>
      <c r="B497" s="7">
        <v>812</v>
      </c>
      <c r="C497" s="7" t="s">
        <v>547</v>
      </c>
      <c r="D497" s="7" t="s">
        <v>482</v>
      </c>
      <c r="E497" s="7" t="s">
        <v>509</v>
      </c>
      <c r="F497" s="15">
        <f>[2]!Tabela15[[#This Row],[Preço PIS/Cofins/ICMS]]*1.1</f>
        <v>2.5960000000000001</v>
      </c>
      <c r="G497" s="10"/>
    </row>
    <row r="498" spans="1:7" ht="15" customHeight="1" x14ac:dyDescent="0.25">
      <c r="A498" t="str">
        <f>IFERROR(VLOOKUP(Tabela15[[#This Row],[Produto]],[1]Planilha1!$K$3:$N$300,4,0),"NÃO")</f>
        <v>NÃO</v>
      </c>
      <c r="B498" s="7">
        <v>813</v>
      </c>
      <c r="C498" s="7" t="s">
        <v>548</v>
      </c>
      <c r="D498" s="7" t="s">
        <v>482</v>
      </c>
      <c r="E498" s="7" t="s">
        <v>509</v>
      </c>
      <c r="F498" s="15">
        <f>[2]!Tabela15[[#This Row],[Preço PIS/Cofins/ICMS]]*1.1</f>
        <v>4.9169999999999998</v>
      </c>
      <c r="G498" s="10"/>
    </row>
    <row r="499" spans="1:7" ht="15" customHeight="1" x14ac:dyDescent="0.25">
      <c r="A499" t="str">
        <f>IFERROR(VLOOKUP(Tabela15[[#This Row],[Produto]],[1]Planilha1!$K$3:$N$300,4,0),"NÃO")</f>
        <v>NÃO</v>
      </c>
      <c r="B499" s="7">
        <v>814</v>
      </c>
      <c r="C499" s="7" t="s">
        <v>549</v>
      </c>
      <c r="D499" s="7" t="s">
        <v>482</v>
      </c>
      <c r="E499" s="7" t="s">
        <v>509</v>
      </c>
      <c r="F499" s="15">
        <f>[2]!Tabela15[[#This Row],[Preço PIS/Cofins/ICMS]]*1.1</f>
        <v>2.2000000000000002</v>
      </c>
      <c r="G499" s="10"/>
    </row>
    <row r="500" spans="1:7" ht="15" customHeight="1" x14ac:dyDescent="0.25">
      <c r="A500" t="str">
        <f>IFERROR(VLOOKUP(Tabela15[[#This Row],[Produto]],[1]Planilha1!$K$3:$N$300,4,0),"NÃO")</f>
        <v>NÃO</v>
      </c>
      <c r="B500" s="7">
        <v>815</v>
      </c>
      <c r="C500" s="7" t="s">
        <v>550</v>
      </c>
      <c r="D500" s="7" t="s">
        <v>482</v>
      </c>
      <c r="E500" s="7" t="s">
        <v>509</v>
      </c>
      <c r="F500" s="15">
        <f>[2]!Tabela15[[#This Row],[Preço PIS/Cofins/ICMS]]*1.1</f>
        <v>0.36300000000000004</v>
      </c>
      <c r="G500" s="10"/>
    </row>
    <row r="501" spans="1:7" ht="15" customHeight="1" x14ac:dyDescent="0.25">
      <c r="A501" t="str">
        <f>IFERROR(VLOOKUP(Tabela15[[#This Row],[Produto]],[1]Planilha1!$K$3:$N$300,4,0),"NÃO")</f>
        <v>NÃO</v>
      </c>
      <c r="B501" s="7">
        <v>816</v>
      </c>
      <c r="C501" s="7" t="s">
        <v>551</v>
      </c>
      <c r="D501" s="7" t="s">
        <v>482</v>
      </c>
      <c r="E501" s="7" t="s">
        <v>509</v>
      </c>
      <c r="F501" s="15">
        <f>[2]!Tabela15[[#This Row],[Preço PIS/Cofins/ICMS]]*1.1</f>
        <v>0.47300000000000003</v>
      </c>
      <c r="G501" s="10"/>
    </row>
    <row r="502" spans="1:7" ht="15" customHeight="1" x14ac:dyDescent="0.25">
      <c r="A502" t="str">
        <f>IFERROR(VLOOKUP(Tabela15[[#This Row],[Produto]],[1]Planilha1!$K$3:$N$300,4,0),"NÃO")</f>
        <v>NÃO</v>
      </c>
      <c r="B502" s="7">
        <v>817</v>
      </c>
      <c r="C502" s="7" t="s">
        <v>552</v>
      </c>
      <c r="D502" s="7" t="s">
        <v>482</v>
      </c>
      <c r="E502" s="7" t="s">
        <v>509</v>
      </c>
      <c r="F502" s="15">
        <f>[2]!Tabela15[[#This Row],[Preço PIS/Cofins/ICMS]]*1.1</f>
        <v>1.3860000000000001</v>
      </c>
      <c r="G502" s="10"/>
    </row>
    <row r="503" spans="1:7" ht="15" customHeight="1" x14ac:dyDescent="0.25">
      <c r="A503" t="str">
        <f>IFERROR(VLOOKUP(Tabela15[[#This Row],[Produto]],[1]Planilha1!$K$3:$N$300,4,0),"NÃO")</f>
        <v>NÃO</v>
      </c>
      <c r="B503" s="7">
        <v>822</v>
      </c>
      <c r="C503" s="7" t="s">
        <v>553</v>
      </c>
      <c r="D503" s="7" t="s">
        <v>482</v>
      </c>
      <c r="E503" s="7" t="s">
        <v>554</v>
      </c>
      <c r="F503" s="15">
        <f>[2]!Tabela15[[#This Row],[Preço PIS/Cofins/ICMS]]*1.1</f>
        <v>17.468000000000004</v>
      </c>
      <c r="G503" s="10"/>
    </row>
    <row r="504" spans="1:7" ht="15" customHeight="1" x14ac:dyDescent="0.25">
      <c r="A504" t="str">
        <f>IFERROR(VLOOKUP(Tabela15[[#This Row],[Produto]],[1]Planilha1!$K$3:$N$300,4,0),"NÃO")</f>
        <v>NÃO</v>
      </c>
      <c r="B504" s="7">
        <v>836</v>
      </c>
      <c r="C504" s="7" t="s">
        <v>555</v>
      </c>
      <c r="D504" s="7" t="s">
        <v>83</v>
      </c>
      <c r="E504" s="7" t="s">
        <v>469</v>
      </c>
      <c r="F504" s="15">
        <f>[2]!Tabela15[[#This Row],[Preço PIS/Cofins/ICMS]]*1.1</f>
        <v>11.341000000000001</v>
      </c>
      <c r="G504" s="10"/>
    </row>
    <row r="505" spans="1:7" ht="15" customHeight="1" x14ac:dyDescent="0.25">
      <c r="A505" t="str">
        <f>IFERROR(VLOOKUP(Tabela15[[#This Row],[Produto]],[1]Planilha1!$K$3:$N$300,4,0),"NÃO")</f>
        <v>NÃO</v>
      </c>
      <c r="B505" s="7">
        <v>837</v>
      </c>
      <c r="C505" s="7" t="s">
        <v>556</v>
      </c>
      <c r="D505" s="7" t="s">
        <v>83</v>
      </c>
      <c r="E505" s="7" t="s">
        <v>469</v>
      </c>
      <c r="F505" s="15">
        <f>[2]!Tabela15[[#This Row],[Preço PIS/Cofins/ICMS]]*1.1</f>
        <v>12.177000000000001</v>
      </c>
      <c r="G505" s="10"/>
    </row>
    <row r="506" spans="1:7" ht="15" customHeight="1" x14ac:dyDescent="0.25">
      <c r="A506" t="str">
        <f>IFERROR(VLOOKUP(Tabela15[[#This Row],[Produto]],[1]Planilha1!$K$3:$N$300,4,0),"NÃO")</f>
        <v>NÃO</v>
      </c>
      <c r="B506" s="7">
        <v>838</v>
      </c>
      <c r="C506" s="7" t="s">
        <v>557</v>
      </c>
      <c r="D506" s="7" t="s">
        <v>83</v>
      </c>
      <c r="E506" s="7" t="s">
        <v>469</v>
      </c>
      <c r="F506" s="15">
        <f>[2]!Tabela15[[#This Row],[Preço PIS/Cofins/ICMS]]*1.1</f>
        <v>21.681000000000001</v>
      </c>
      <c r="G506" s="10"/>
    </row>
    <row r="507" spans="1:7" ht="15" customHeight="1" x14ac:dyDescent="0.25">
      <c r="A507" t="str">
        <f>IFERROR(VLOOKUP(Tabela15[[#This Row],[Produto]],[1]Planilha1!$K$3:$N$300,4,0),"NÃO")</f>
        <v>NÃO</v>
      </c>
      <c r="B507" s="7">
        <v>839</v>
      </c>
      <c r="C507" s="7" t="s">
        <v>558</v>
      </c>
      <c r="D507" s="7" t="s">
        <v>83</v>
      </c>
      <c r="E507" s="7" t="s">
        <v>469</v>
      </c>
      <c r="F507" s="15">
        <f>[2]!Tabela15[[#This Row],[Preço PIS/Cofins/ICMS]]*1.1</f>
        <v>23.045000000000002</v>
      </c>
      <c r="G507" s="10"/>
    </row>
    <row r="508" spans="1:7" ht="15" customHeight="1" x14ac:dyDescent="0.25">
      <c r="A508" t="str">
        <f>IFERROR(VLOOKUP(Tabela15[[#This Row],[Produto]],[1]Planilha1!$K$3:$N$300,4,0),"NÃO")</f>
        <v>NÃO</v>
      </c>
      <c r="B508" s="7">
        <v>840</v>
      </c>
      <c r="C508" s="7" t="s">
        <v>559</v>
      </c>
      <c r="D508" s="7" t="s">
        <v>83</v>
      </c>
      <c r="E508" s="7" t="s">
        <v>469</v>
      </c>
      <c r="F508" s="15">
        <f>[2]!Tabela15[[#This Row],[Preço PIS/Cofins/ICMS]]*1.1</f>
        <v>0.82500000000000007</v>
      </c>
      <c r="G508" s="10"/>
    </row>
    <row r="509" spans="1:7" ht="15" customHeight="1" x14ac:dyDescent="0.25">
      <c r="A509" t="str">
        <f>IFERROR(VLOOKUP(Tabela15[[#This Row],[Produto]],[1]Planilha1!$K$3:$N$300,4,0),"NÃO")</f>
        <v>NÃO</v>
      </c>
      <c r="B509" s="7">
        <v>841</v>
      </c>
      <c r="C509" s="7" t="s">
        <v>560</v>
      </c>
      <c r="D509" s="7" t="s">
        <v>83</v>
      </c>
      <c r="E509" s="7" t="s">
        <v>469</v>
      </c>
      <c r="F509" s="15">
        <f>[2]!Tabela15[[#This Row],[Preço PIS/Cofins/ICMS]]*1.1</f>
        <v>1.4850000000000003</v>
      </c>
      <c r="G509" s="10"/>
    </row>
    <row r="510" spans="1:7" ht="15" customHeight="1" x14ac:dyDescent="0.25">
      <c r="A510" t="str">
        <f>IFERROR(VLOOKUP(Tabela15[[#This Row],[Produto]],[1]Planilha1!$K$3:$N$300,4,0),"NÃO")</f>
        <v>NÃO</v>
      </c>
      <c r="B510" s="7">
        <v>859</v>
      </c>
      <c r="C510" s="7" t="s">
        <v>561</v>
      </c>
      <c r="D510" s="7" t="s">
        <v>482</v>
      </c>
      <c r="E510" s="7" t="s">
        <v>562</v>
      </c>
      <c r="F510" s="15">
        <f>[2]!Tabela15[[#This Row],[Preço PIS/Cofins/ICMS]]*1.1</f>
        <v>6.9190000000000005</v>
      </c>
      <c r="G510" s="10"/>
    </row>
    <row r="511" spans="1:7" ht="15" customHeight="1" x14ac:dyDescent="0.25">
      <c r="A511" t="str">
        <f>IFERROR(VLOOKUP(Tabela15[[#This Row],[Produto]],[1]Planilha1!$K$3:$N$300,4,0),"NÃO")</f>
        <v>NÃO</v>
      </c>
      <c r="B511" s="7">
        <v>860</v>
      </c>
      <c r="C511" s="7" t="s">
        <v>563</v>
      </c>
      <c r="D511" s="7" t="s">
        <v>482</v>
      </c>
      <c r="E511" s="7" t="s">
        <v>562</v>
      </c>
      <c r="F511" s="15">
        <f>[2]!Tabela15[[#This Row],[Preço PIS/Cofins/ICMS]]*1.1</f>
        <v>3.2450000000000006</v>
      </c>
      <c r="G511" s="10"/>
    </row>
    <row r="512" spans="1:7" ht="15" customHeight="1" x14ac:dyDescent="0.25">
      <c r="A512" t="str">
        <f>IFERROR(VLOOKUP(Tabela15[[#This Row],[Produto]],[1]Planilha1!$K$3:$N$300,4,0),"NÃO")</f>
        <v>NÃO</v>
      </c>
      <c r="B512" s="7">
        <v>861</v>
      </c>
      <c r="C512" s="7" t="s">
        <v>564</v>
      </c>
      <c r="D512" s="7" t="s">
        <v>482</v>
      </c>
      <c r="E512" s="7" t="s">
        <v>562</v>
      </c>
      <c r="F512" s="15">
        <f>[2]!Tabela15[[#This Row],[Preço PIS/Cofins/ICMS]]*1.1</f>
        <v>8.8000000000000007</v>
      </c>
      <c r="G512" s="10"/>
    </row>
    <row r="513" spans="1:7" ht="15" customHeight="1" x14ac:dyDescent="0.25">
      <c r="A513" t="str">
        <f>IFERROR(VLOOKUP(Tabela15[[#This Row],[Produto]],[1]Planilha1!$K$3:$N$300,4,0),"NÃO")</f>
        <v>NÃO</v>
      </c>
      <c r="B513" s="7">
        <v>862</v>
      </c>
      <c r="C513" s="7" t="s">
        <v>565</v>
      </c>
      <c r="D513" s="7" t="s">
        <v>482</v>
      </c>
      <c r="E513" s="7" t="s">
        <v>562</v>
      </c>
      <c r="F513" s="15">
        <f>[2]!Tabela15[[#This Row],[Preço PIS/Cofins/ICMS]]*1.1</f>
        <v>3.2450000000000006</v>
      </c>
      <c r="G513" s="10"/>
    </row>
    <row r="514" spans="1:7" ht="15" customHeight="1" x14ac:dyDescent="0.25">
      <c r="A514" t="str">
        <f>IFERROR(VLOOKUP(Tabela15[[#This Row],[Produto]],[1]Planilha1!$K$3:$N$300,4,0),"NÃO")</f>
        <v>NÃO</v>
      </c>
      <c r="B514" s="7">
        <v>870</v>
      </c>
      <c r="C514" s="7" t="s">
        <v>566</v>
      </c>
      <c r="D514" s="7" t="s">
        <v>83</v>
      </c>
      <c r="E514" s="7" t="s">
        <v>175</v>
      </c>
      <c r="F514" s="15">
        <f>[2]!Tabela15[[#This Row],[Preço PIS/Cofins/ICMS]]*1.1</f>
        <v>70.994000000000014</v>
      </c>
      <c r="G514" s="10"/>
    </row>
    <row r="515" spans="1:7" ht="15" customHeight="1" x14ac:dyDescent="0.25">
      <c r="A515" t="str">
        <f>IFERROR(VLOOKUP(Tabela15[[#This Row],[Produto]],[1]Planilha1!$K$3:$N$300,4,0),"NÃO")</f>
        <v>NÃO</v>
      </c>
      <c r="B515" s="7">
        <v>872</v>
      </c>
      <c r="C515" s="7" t="s">
        <v>567</v>
      </c>
      <c r="D515" s="7" t="s">
        <v>83</v>
      </c>
      <c r="E515" s="7" t="s">
        <v>175</v>
      </c>
      <c r="F515" s="15">
        <f>[2]!Tabela15[[#This Row],[Preço PIS/Cofins/ICMS]]*1.1</f>
        <v>113.89400000000002</v>
      </c>
      <c r="G515" s="10"/>
    </row>
    <row r="516" spans="1:7" ht="15" customHeight="1" x14ac:dyDescent="0.25">
      <c r="A516" t="str">
        <f>IFERROR(VLOOKUP(Tabela15[[#This Row],[Produto]],[1]Planilha1!$K$3:$N$300,4,0),"NÃO")</f>
        <v>NÃO</v>
      </c>
      <c r="B516" s="7">
        <v>873</v>
      </c>
      <c r="C516" s="7" t="s">
        <v>568</v>
      </c>
      <c r="D516" s="7" t="s">
        <v>83</v>
      </c>
      <c r="E516" s="7" t="s">
        <v>175</v>
      </c>
      <c r="F516" s="15">
        <f>[2]!Tabela15[[#This Row],[Preço PIS/Cofins/ICMS]]*1.1</f>
        <v>129.43700000000001</v>
      </c>
      <c r="G516" s="10"/>
    </row>
    <row r="517" spans="1:7" ht="15" customHeight="1" x14ac:dyDescent="0.25">
      <c r="A517" t="str">
        <f>IFERROR(VLOOKUP(Tabela15[[#This Row],[Produto]],[1]Planilha1!$K$3:$N$300,4,0),"NÃO")</f>
        <v>NÃO</v>
      </c>
      <c r="B517" s="7">
        <v>874</v>
      </c>
      <c r="C517" s="7" t="s">
        <v>569</v>
      </c>
      <c r="D517" s="7" t="s">
        <v>83</v>
      </c>
      <c r="E517" s="7" t="s">
        <v>175</v>
      </c>
      <c r="F517" s="15">
        <f>[2]!Tabela15[[#This Row],[Preço PIS/Cofins/ICMS]]*1.1</f>
        <v>13.794</v>
      </c>
      <c r="G517" s="10"/>
    </row>
    <row r="518" spans="1:7" ht="15" customHeight="1" x14ac:dyDescent="0.25">
      <c r="A518" t="str">
        <f>IFERROR(VLOOKUP(Tabela15[[#This Row],[Produto]],[1]Planilha1!$K$3:$N$300,4,0),"NÃO")</f>
        <v>NÃO</v>
      </c>
      <c r="B518" s="7">
        <v>875</v>
      </c>
      <c r="C518" s="7" t="s">
        <v>570</v>
      </c>
      <c r="D518" s="7" t="s">
        <v>83</v>
      </c>
      <c r="E518" s="7" t="s">
        <v>91</v>
      </c>
      <c r="F518" s="15">
        <f>[2]!Tabela15[[#This Row],[Preço PIS/Cofins/ICMS]]*1.1</f>
        <v>3.7290000000000005</v>
      </c>
      <c r="G518" s="10"/>
    </row>
    <row r="519" spans="1:7" ht="15" customHeight="1" x14ac:dyDescent="0.25">
      <c r="A519" t="str">
        <f>IFERROR(VLOOKUP(Tabela15[[#This Row],[Produto]],[1]Planilha1!$K$3:$N$300,4,0),"NÃO")</f>
        <v>NÃO</v>
      </c>
      <c r="B519" s="7">
        <v>876</v>
      </c>
      <c r="C519" s="7" t="s">
        <v>571</v>
      </c>
      <c r="D519" s="7" t="s">
        <v>83</v>
      </c>
      <c r="E519" s="7" t="s">
        <v>91</v>
      </c>
      <c r="F519" s="15">
        <f>[2]!Tabela15[[#This Row],[Preço PIS/Cofins/ICMS]]*1.1</f>
        <v>4.9830000000000005</v>
      </c>
      <c r="G519" s="10"/>
    </row>
    <row r="520" spans="1:7" ht="15" customHeight="1" x14ac:dyDescent="0.25">
      <c r="A520" t="str">
        <f>IFERROR(VLOOKUP(Tabela15[[#This Row],[Produto]],[1]Planilha1!$K$3:$N$300,4,0),"NÃO")</f>
        <v>NÃO</v>
      </c>
      <c r="B520" s="7">
        <v>904</v>
      </c>
      <c r="C520" s="7" t="s">
        <v>572</v>
      </c>
      <c r="D520" s="7" t="s">
        <v>83</v>
      </c>
      <c r="E520" s="7" t="s">
        <v>573</v>
      </c>
      <c r="F520" s="15">
        <v>6.8419999999999996</v>
      </c>
      <c r="G520" s="10"/>
    </row>
    <row r="521" spans="1:7" ht="15" customHeight="1" x14ac:dyDescent="0.25">
      <c r="A521" t="str">
        <f>IFERROR(VLOOKUP(Tabela15[[#This Row],[Produto]],[1]Planilha1!$K$3:$N$300,4,0),"NÃO")</f>
        <v>NÃO</v>
      </c>
      <c r="B521" s="7">
        <v>906</v>
      </c>
      <c r="C521" s="7" t="s">
        <v>574</v>
      </c>
      <c r="D521" s="7" t="s">
        <v>83</v>
      </c>
      <c r="E521" s="7" t="s">
        <v>573</v>
      </c>
      <c r="F521" s="15">
        <f>[2]!Tabela15[[#This Row],[Preço PIS/Cofins/ICMS]]*1.1</f>
        <v>6.7540000000000004</v>
      </c>
      <c r="G521" s="10"/>
    </row>
    <row r="522" spans="1:7" ht="15" customHeight="1" x14ac:dyDescent="0.25">
      <c r="A522" t="str">
        <f>IFERROR(VLOOKUP(Tabela15[[#This Row],[Produto]],[1]Planilha1!$K$3:$N$300,4,0),"NÃO")</f>
        <v>NÃO</v>
      </c>
      <c r="B522" s="7">
        <v>908</v>
      </c>
      <c r="C522" s="7" t="s">
        <v>575</v>
      </c>
      <c r="D522" s="7" t="s">
        <v>83</v>
      </c>
      <c r="E522" s="7" t="s">
        <v>573</v>
      </c>
      <c r="F522" s="15">
        <f>[2]!Tabela15[[#This Row],[Preço PIS/Cofins/ICMS]]*1.1</f>
        <v>25.838999999999999</v>
      </c>
      <c r="G522" s="10"/>
    </row>
    <row r="523" spans="1:7" ht="15" customHeight="1" x14ac:dyDescent="0.25">
      <c r="A523" t="str">
        <f>IFERROR(VLOOKUP(Tabela15[[#This Row],[Produto]],[1]Planilha1!$K$3:$N$300,4,0),"NÃO")</f>
        <v>NÃO</v>
      </c>
      <c r="B523" s="7">
        <v>910</v>
      </c>
      <c r="C523" s="7" t="s">
        <v>576</v>
      </c>
      <c r="D523" s="7" t="s">
        <v>83</v>
      </c>
      <c r="E523" s="7" t="s">
        <v>573</v>
      </c>
      <c r="F523" s="15">
        <f>[2]!Tabela15[[#This Row],[Preço PIS/Cofins/ICMS]]*1.1</f>
        <v>21.648</v>
      </c>
      <c r="G523" s="10"/>
    </row>
    <row r="524" spans="1:7" ht="15" customHeight="1" x14ac:dyDescent="0.25">
      <c r="A524" t="str">
        <f>IFERROR(VLOOKUP(Tabela15[[#This Row],[Produto]],[1]Planilha1!$K$3:$N$300,4,0),"NÃO")</f>
        <v>NÃO</v>
      </c>
      <c r="B524" s="7">
        <v>912</v>
      </c>
      <c r="C524" s="7" t="s">
        <v>577</v>
      </c>
      <c r="D524" s="7" t="s">
        <v>83</v>
      </c>
      <c r="E524" s="7" t="s">
        <v>573</v>
      </c>
      <c r="F524" s="15">
        <f>[2]!Tabela15[[#This Row],[Preço PIS/Cofins/ICMS]]*1.1</f>
        <v>19.679000000000002</v>
      </c>
      <c r="G524" s="10"/>
    </row>
    <row r="525" spans="1:7" ht="15" customHeight="1" x14ac:dyDescent="0.25">
      <c r="A525" t="str">
        <f>IFERROR(VLOOKUP(Tabela15[[#This Row],[Produto]],[1]Planilha1!$K$3:$N$300,4,0),"NÃO")</f>
        <v>NÃO</v>
      </c>
      <c r="B525" s="7">
        <v>914</v>
      </c>
      <c r="C525" s="7" t="s">
        <v>578</v>
      </c>
      <c r="D525" s="7" t="s">
        <v>83</v>
      </c>
      <c r="E525" s="7" t="s">
        <v>573</v>
      </c>
      <c r="F525" s="15">
        <f>[2]!Tabela15[[#This Row],[Preço PIS/Cofins/ICMS]]*1.1</f>
        <v>22.880000000000003</v>
      </c>
      <c r="G525" s="10"/>
    </row>
    <row r="526" spans="1:7" ht="15" customHeight="1" x14ac:dyDescent="0.25">
      <c r="A526" t="str">
        <f>IFERROR(VLOOKUP(Tabela15[[#This Row],[Produto]],[1]Planilha1!$K$3:$N$300,4,0),"NÃO")</f>
        <v>NÃO</v>
      </c>
      <c r="B526" s="7">
        <v>916</v>
      </c>
      <c r="C526" s="7" t="s">
        <v>579</v>
      </c>
      <c r="D526" s="7" t="s">
        <v>83</v>
      </c>
      <c r="E526" s="7" t="s">
        <v>573</v>
      </c>
      <c r="F526" s="15">
        <f>[2]!Tabela15[[#This Row],[Preço PIS/Cofins/ICMS]]*1.1</f>
        <v>22.682000000000002</v>
      </c>
      <c r="G526" s="10"/>
    </row>
    <row r="527" spans="1:7" ht="15" customHeight="1" x14ac:dyDescent="0.25">
      <c r="A527" t="str">
        <f>IFERROR(VLOOKUP(Tabela15[[#This Row],[Produto]],[1]Planilha1!$K$3:$N$300,4,0),"NÃO")</f>
        <v>NÃO</v>
      </c>
      <c r="B527" s="7">
        <v>918</v>
      </c>
      <c r="C527" s="7" t="s">
        <v>580</v>
      </c>
      <c r="D527" s="7" t="s">
        <v>83</v>
      </c>
      <c r="E527" s="7" t="s">
        <v>573</v>
      </c>
      <c r="F527" s="15">
        <f>[2]!Tabela15[[#This Row],[Preço PIS/Cofins/ICMS]]*1.1</f>
        <v>25.740000000000002</v>
      </c>
      <c r="G527" s="10"/>
    </row>
    <row r="528" spans="1:7" ht="15" customHeight="1" x14ac:dyDescent="0.25">
      <c r="A528" t="str">
        <f>IFERROR(VLOOKUP(Tabela15[[#This Row],[Produto]],[1]Planilha1!$K$3:$N$300,4,0),"NÃO")</f>
        <v>NÃO</v>
      </c>
      <c r="B528" s="7">
        <v>922</v>
      </c>
      <c r="C528" s="7" t="s">
        <v>581</v>
      </c>
      <c r="D528" s="7" t="s">
        <v>83</v>
      </c>
      <c r="E528" s="7" t="s">
        <v>573</v>
      </c>
      <c r="F528" s="15">
        <f>[2]!Tabela15[[#This Row],[Preço PIS/Cofins/ICMS]]*1.1</f>
        <v>4.7409999999999997</v>
      </c>
      <c r="G528" s="10"/>
    </row>
    <row r="529" spans="1:7" ht="15" customHeight="1" x14ac:dyDescent="0.25">
      <c r="A529" t="str">
        <f>IFERROR(VLOOKUP(Tabela15[[#This Row],[Produto]],[1]Planilha1!$K$3:$N$300,4,0),"NÃO")</f>
        <v>NÃO</v>
      </c>
      <c r="B529" s="7">
        <v>924</v>
      </c>
      <c r="C529" s="7" t="s">
        <v>582</v>
      </c>
      <c r="D529" s="7" t="s">
        <v>83</v>
      </c>
      <c r="E529" s="7" t="s">
        <v>573</v>
      </c>
      <c r="F529" s="15">
        <f>[2]!Tabela15[[#This Row],[Preço PIS/Cofins/ICMS]]*1.1</f>
        <v>49.797000000000004</v>
      </c>
      <c r="G529" s="10"/>
    </row>
    <row r="530" spans="1:7" ht="15" customHeight="1" x14ac:dyDescent="0.25">
      <c r="A530" t="str">
        <f>IFERROR(VLOOKUP(Tabela15[[#This Row],[Produto]],[1]Planilha1!$K$3:$N$300,4,0),"NÃO")</f>
        <v>NÃO</v>
      </c>
      <c r="B530" s="7">
        <v>925</v>
      </c>
      <c r="C530" s="7" t="s">
        <v>583</v>
      </c>
      <c r="D530" s="7" t="s">
        <v>83</v>
      </c>
      <c r="E530" s="7" t="s">
        <v>573</v>
      </c>
      <c r="F530" s="15">
        <f>[2]!Tabela15[[#This Row],[Preço PIS/Cofins/ICMS]]*1.1</f>
        <v>49.863</v>
      </c>
      <c r="G530" s="10"/>
    </row>
    <row r="531" spans="1:7" ht="15" customHeight="1" x14ac:dyDescent="0.25">
      <c r="A531" t="str">
        <f>IFERROR(VLOOKUP(Tabela15[[#This Row],[Produto]],[1]Planilha1!$K$3:$N$300,4,0),"NÃO")</f>
        <v>NÃO</v>
      </c>
      <c r="B531" s="7">
        <v>926</v>
      </c>
      <c r="C531" s="7" t="s">
        <v>584</v>
      </c>
      <c r="D531" s="7" t="s">
        <v>83</v>
      </c>
      <c r="E531" s="7" t="s">
        <v>573</v>
      </c>
      <c r="F531" s="15">
        <f>[2]!Tabela15[[#This Row],[Preço PIS/Cofins/ICMS]]*1.1</f>
        <v>42.35</v>
      </c>
      <c r="G531" s="10"/>
    </row>
    <row r="532" spans="1:7" ht="15" customHeight="1" x14ac:dyDescent="0.25">
      <c r="A532" t="str">
        <f>IFERROR(VLOOKUP(Tabela15[[#This Row],[Produto]],[1]Planilha1!$K$3:$N$300,4,0),"NÃO")</f>
        <v>NÃO</v>
      </c>
      <c r="B532" s="7">
        <v>927</v>
      </c>
      <c r="C532" s="7" t="s">
        <v>585</v>
      </c>
      <c r="D532" s="7" t="s">
        <v>83</v>
      </c>
      <c r="E532" s="7" t="s">
        <v>573</v>
      </c>
      <c r="F532" s="15">
        <f>[2]!Tabela15[[#This Row],[Preço PIS/Cofins/ICMS]]*1.1</f>
        <v>45.639000000000003</v>
      </c>
      <c r="G532" s="10"/>
    </row>
    <row r="533" spans="1:7" ht="15" customHeight="1" x14ac:dyDescent="0.25">
      <c r="A533" t="str">
        <f>IFERROR(VLOOKUP(Tabela15[[#This Row],[Produto]],[1]Planilha1!$K$3:$N$300,4,0),"NÃO")</f>
        <v>NÃO</v>
      </c>
      <c r="B533" s="7">
        <v>928</v>
      </c>
      <c r="C533" s="7" t="s">
        <v>586</v>
      </c>
      <c r="D533" s="7" t="s">
        <v>83</v>
      </c>
      <c r="E533" s="7" t="s">
        <v>573</v>
      </c>
      <c r="F533" s="15">
        <f>[2]!Tabela15[[#This Row],[Preço PIS/Cofins/ICMS]]*1.1</f>
        <v>5.7750000000000004</v>
      </c>
      <c r="G533" s="10"/>
    </row>
    <row r="534" spans="1:7" ht="15" customHeight="1" x14ac:dyDescent="0.25">
      <c r="A534" t="str">
        <f>IFERROR(VLOOKUP(Tabela15[[#This Row],[Produto]],[1]Planilha1!$K$3:$N$300,4,0),"NÃO")</f>
        <v>NÃO</v>
      </c>
      <c r="B534" s="7">
        <v>929</v>
      </c>
      <c r="C534" s="7" t="s">
        <v>587</v>
      </c>
      <c r="D534" s="7" t="s">
        <v>83</v>
      </c>
      <c r="E534" s="7" t="s">
        <v>573</v>
      </c>
      <c r="F534" s="15">
        <f>[2]!Tabela15[[#This Row],[Preço PIS/Cofins/ICMS]]*1.1</f>
        <v>15.785</v>
      </c>
      <c r="G534" s="10"/>
    </row>
    <row r="535" spans="1:7" ht="15" customHeight="1" x14ac:dyDescent="0.25">
      <c r="A535" t="str">
        <f>IFERROR(VLOOKUP(Tabela15[[#This Row],[Produto]],[1]Planilha1!$K$3:$N$300,4,0),"NÃO")</f>
        <v>NÃO</v>
      </c>
      <c r="B535" s="7">
        <v>930</v>
      </c>
      <c r="C535" s="7" t="s">
        <v>588</v>
      </c>
      <c r="D535" s="7" t="s">
        <v>83</v>
      </c>
      <c r="E535" s="7" t="s">
        <v>573</v>
      </c>
      <c r="F535" s="15">
        <f>[2]!Tabela15[[#This Row],[Preço PIS/Cofins/ICMS]]*1.1</f>
        <v>10.879000000000001</v>
      </c>
      <c r="G535" s="10"/>
    </row>
    <row r="536" spans="1:7" ht="15" customHeight="1" x14ac:dyDescent="0.25">
      <c r="A536" t="str">
        <f>IFERROR(VLOOKUP(Tabela15[[#This Row],[Produto]],[1]Planilha1!$K$3:$N$300,4,0),"NÃO")</f>
        <v>NÃO</v>
      </c>
      <c r="B536" s="7">
        <v>931</v>
      </c>
      <c r="C536" s="7" t="s">
        <v>589</v>
      </c>
      <c r="D536" s="7" t="s">
        <v>83</v>
      </c>
      <c r="E536" s="7" t="s">
        <v>573</v>
      </c>
      <c r="F536" s="15">
        <f>[2]!Tabela15[[#This Row],[Preço PIS/Cofins/ICMS]]*1.1</f>
        <v>4.9060000000000006</v>
      </c>
      <c r="G536" s="10"/>
    </row>
    <row r="537" spans="1:7" ht="15" customHeight="1" x14ac:dyDescent="0.25">
      <c r="A537" t="str">
        <f>IFERROR(VLOOKUP(Tabela15[[#This Row],[Produto]],[1]Planilha1!$K$3:$N$300,4,0),"NÃO")</f>
        <v>NÃO</v>
      </c>
      <c r="B537" s="7">
        <v>936</v>
      </c>
      <c r="C537" s="7" t="s">
        <v>590</v>
      </c>
      <c r="D537" s="7" t="s">
        <v>83</v>
      </c>
      <c r="E537" s="7" t="s">
        <v>573</v>
      </c>
      <c r="F537" s="15">
        <f>[2]!Tabela15[[#This Row],[Preço PIS/Cofins/ICMS]]*1.1</f>
        <v>3.2560000000000002</v>
      </c>
      <c r="G537" s="10"/>
    </row>
    <row r="538" spans="1:7" ht="15" customHeight="1" x14ac:dyDescent="0.25">
      <c r="A538" t="str">
        <f>IFERROR(VLOOKUP(Tabela15[[#This Row],[Produto]],[1]Planilha1!$K$3:$N$300,4,0),"NÃO")</f>
        <v>NÃO</v>
      </c>
      <c r="B538" s="7">
        <v>937</v>
      </c>
      <c r="C538" s="7" t="s">
        <v>591</v>
      </c>
      <c r="D538" s="7" t="s">
        <v>164</v>
      </c>
      <c r="E538" s="7" t="s">
        <v>592</v>
      </c>
      <c r="F538" s="15">
        <f>[2]!Tabela15[[#This Row],[Preço PIS/Cofins/ICMS]]*1.1</f>
        <v>18.161000000000005</v>
      </c>
      <c r="G538" s="10"/>
    </row>
    <row r="539" spans="1:7" ht="15" customHeight="1" x14ac:dyDescent="0.25">
      <c r="A539" t="str">
        <f>IFERROR(VLOOKUP(Tabela15[[#This Row],[Produto]],[1]Planilha1!$K$3:$N$300,4,0),"NÃO")</f>
        <v>NÃO</v>
      </c>
      <c r="B539" s="7">
        <v>938</v>
      </c>
      <c r="C539" s="7" t="s">
        <v>593</v>
      </c>
      <c r="D539" s="7" t="s">
        <v>83</v>
      </c>
      <c r="E539" s="7" t="s">
        <v>573</v>
      </c>
      <c r="F539" s="15">
        <f>[2]!Tabela15[[#This Row],[Preço PIS/Cofins/ICMS]]*1.1</f>
        <v>6.1710000000000012</v>
      </c>
      <c r="G539" s="10"/>
    </row>
    <row r="540" spans="1:7" ht="15" customHeight="1" x14ac:dyDescent="0.25">
      <c r="A540" t="str">
        <f>IFERROR(VLOOKUP(Tabela15[[#This Row],[Produto]],[1]Planilha1!$K$3:$N$300,4,0),"NÃO")</f>
        <v>NÃO</v>
      </c>
      <c r="B540" s="7">
        <v>939</v>
      </c>
      <c r="C540" s="7" t="s">
        <v>594</v>
      </c>
      <c r="D540" s="7" t="s">
        <v>164</v>
      </c>
      <c r="E540" s="7" t="s">
        <v>592</v>
      </c>
      <c r="F540" s="15">
        <f>[2]!Tabela15[[#This Row],[Preço PIS/Cofins/ICMS]]*1.1</f>
        <v>36.762000000000008</v>
      </c>
      <c r="G540" s="10"/>
    </row>
    <row r="541" spans="1:7" ht="15" customHeight="1" x14ac:dyDescent="0.25">
      <c r="A541" t="str">
        <f>IFERROR(VLOOKUP(Tabela15[[#This Row],[Produto]],[1]Planilha1!$K$3:$N$300,4,0),"NÃO")</f>
        <v>NÃO</v>
      </c>
      <c r="B541" s="7">
        <v>940</v>
      </c>
      <c r="C541" s="7" t="s">
        <v>595</v>
      </c>
      <c r="D541" s="7" t="s">
        <v>83</v>
      </c>
      <c r="E541" s="7" t="s">
        <v>573</v>
      </c>
      <c r="F541" s="15">
        <f>[2]!Tabela15[[#This Row],[Preço PIS/Cofins/ICMS]]*1.1</f>
        <v>2.2440000000000002</v>
      </c>
      <c r="G541" s="10"/>
    </row>
    <row r="542" spans="1:7" ht="15" customHeight="1" x14ac:dyDescent="0.25">
      <c r="A542" t="str">
        <f>IFERROR(VLOOKUP(Tabela15[[#This Row],[Produto]],[1]Planilha1!$K$3:$N$300,4,0),"NÃO")</f>
        <v>NÃO</v>
      </c>
      <c r="B542" s="7">
        <v>941</v>
      </c>
      <c r="C542" s="7" t="s">
        <v>596</v>
      </c>
      <c r="D542" s="7" t="s">
        <v>164</v>
      </c>
      <c r="E542" s="7" t="s">
        <v>592</v>
      </c>
      <c r="F542" s="15">
        <f>[2]!Tabela15[[#This Row],[Preço PIS/Cofins/ICMS]]*1.1</f>
        <v>13.926000000000002</v>
      </c>
      <c r="G542" s="10"/>
    </row>
    <row r="543" spans="1:7" ht="15" customHeight="1" x14ac:dyDescent="0.25">
      <c r="A543" t="str">
        <f>IFERROR(VLOOKUP(Tabela15[[#This Row],[Produto]],[1]Planilha1!$K$3:$N$300,4,0),"NÃO")</f>
        <v>NÃO</v>
      </c>
      <c r="B543" s="7">
        <v>942</v>
      </c>
      <c r="C543" s="7" t="s">
        <v>597</v>
      </c>
      <c r="D543" s="7" t="s">
        <v>83</v>
      </c>
      <c r="E543" s="7" t="s">
        <v>573</v>
      </c>
      <c r="F543" s="15">
        <f>[2]!Tabela15[[#This Row],[Preço PIS/Cofins/ICMS]]*1.1</f>
        <v>5.2910000000000004</v>
      </c>
      <c r="G543" s="10"/>
    </row>
    <row r="544" spans="1:7" ht="15" customHeight="1" x14ac:dyDescent="0.25">
      <c r="A544" t="str">
        <f>IFERROR(VLOOKUP(Tabela15[[#This Row],[Produto]],[1]Planilha1!$K$3:$N$300,4,0),"NÃO")</f>
        <v>NÃO</v>
      </c>
      <c r="B544" s="7">
        <v>943</v>
      </c>
      <c r="C544" s="7" t="s">
        <v>598</v>
      </c>
      <c r="D544" s="7" t="s">
        <v>164</v>
      </c>
      <c r="E544" s="7" t="s">
        <v>592</v>
      </c>
      <c r="F544" s="15">
        <f>[2]!Tabela15[[#This Row],[Preço PIS/Cofins/ICMS]]*1.1</f>
        <v>30.261000000000003</v>
      </c>
      <c r="G544" s="10"/>
    </row>
    <row r="545" spans="1:7" ht="15" customHeight="1" x14ac:dyDescent="0.25">
      <c r="A545" t="str">
        <f>IFERROR(VLOOKUP(Tabela15[[#This Row],[Produto]],[1]Planilha1!$K$3:$N$300,4,0),"NÃO")</f>
        <v>NÃO</v>
      </c>
      <c r="B545" s="7">
        <v>944</v>
      </c>
      <c r="C545" s="7" t="s">
        <v>599</v>
      </c>
      <c r="D545" s="7" t="s">
        <v>83</v>
      </c>
      <c r="E545" s="7" t="s">
        <v>573</v>
      </c>
      <c r="F545" s="15">
        <f>[2]!Tabela15[[#This Row],[Preço PIS/Cofins/ICMS]]*1.1</f>
        <v>2.8160000000000003</v>
      </c>
      <c r="G545" s="10"/>
    </row>
    <row r="546" spans="1:7" ht="15" customHeight="1" x14ac:dyDescent="0.25">
      <c r="A546" t="str">
        <f>IFERROR(VLOOKUP(Tabela15[[#This Row],[Produto]],[1]Planilha1!$K$3:$N$300,4,0),"NÃO")</f>
        <v>NÃO</v>
      </c>
      <c r="B546" s="7">
        <v>946</v>
      </c>
      <c r="C546" s="7" t="s">
        <v>600</v>
      </c>
      <c r="D546" s="7" t="s">
        <v>164</v>
      </c>
      <c r="E546" s="7" t="s">
        <v>592</v>
      </c>
      <c r="F546" s="15">
        <f>[2]!Tabela15[[#This Row],[Preço PIS/Cofins/ICMS]]*1.1</f>
        <v>12.144</v>
      </c>
      <c r="G546" s="10"/>
    </row>
    <row r="547" spans="1:7" ht="15" customHeight="1" x14ac:dyDescent="0.25">
      <c r="A547" t="str">
        <f>IFERROR(VLOOKUP(Tabela15[[#This Row],[Produto]],[1]Planilha1!$K$3:$N$300,4,0),"NÃO")</f>
        <v>NÃO</v>
      </c>
      <c r="B547" s="7">
        <v>947</v>
      </c>
      <c r="C547" s="7" t="s">
        <v>601</v>
      </c>
      <c r="D547" s="7" t="s">
        <v>83</v>
      </c>
      <c r="E547" s="7" t="s">
        <v>573</v>
      </c>
      <c r="F547" s="15">
        <f>[2]!Tabela15[[#This Row],[Preço PIS/Cofins/ICMS]]*1.1</f>
        <v>3.7840000000000003</v>
      </c>
      <c r="G547" s="10"/>
    </row>
    <row r="548" spans="1:7" ht="15" customHeight="1" x14ac:dyDescent="0.25">
      <c r="A548" t="str">
        <f>IFERROR(VLOOKUP(Tabela15[[#This Row],[Produto]],[1]Planilha1!$K$3:$N$300,4,0),"NÃO")</f>
        <v>NÃO</v>
      </c>
      <c r="B548" s="7">
        <v>949</v>
      </c>
      <c r="C548" s="7" t="s">
        <v>602</v>
      </c>
      <c r="D548" s="7" t="s">
        <v>164</v>
      </c>
      <c r="E548" s="7" t="s">
        <v>592</v>
      </c>
      <c r="F548" s="15">
        <f>[2]!Tabela15[[#This Row],[Preço PIS/Cofins/ICMS]]*1.1</f>
        <v>16.995000000000001</v>
      </c>
      <c r="G548" s="10"/>
    </row>
    <row r="549" spans="1:7" ht="15" customHeight="1" x14ac:dyDescent="0.25">
      <c r="A549" t="str">
        <f>IFERROR(VLOOKUP(Tabela15[[#This Row],[Produto]],[1]Planilha1!$K$3:$N$300,4,0),"NÃO")</f>
        <v>NÃO</v>
      </c>
      <c r="B549" s="7">
        <v>950</v>
      </c>
      <c r="C549" s="7" t="s">
        <v>603</v>
      </c>
      <c r="D549" s="7" t="s">
        <v>83</v>
      </c>
      <c r="E549" s="7" t="s">
        <v>573</v>
      </c>
      <c r="F549" s="15">
        <f>[2]!Tabela15[[#This Row],[Preço PIS/Cofins/ICMS]]*1.1</f>
        <v>2.4420000000000006</v>
      </c>
      <c r="G549" s="10"/>
    </row>
    <row r="550" spans="1:7" ht="15" customHeight="1" x14ac:dyDescent="0.25">
      <c r="A550" t="str">
        <f>IFERROR(VLOOKUP(Tabela15[[#This Row],[Produto]],[1]Planilha1!$K$3:$N$300,4,0),"NÃO")</f>
        <v>NÃO</v>
      </c>
      <c r="B550" s="7">
        <v>952</v>
      </c>
      <c r="C550" s="7" t="s">
        <v>604</v>
      </c>
      <c r="D550" s="7" t="s">
        <v>164</v>
      </c>
      <c r="E550" s="7" t="s">
        <v>592</v>
      </c>
      <c r="F550" s="15">
        <f>[2]!Tabela15[[#This Row],[Preço PIS/Cofins/ICMS]]*1.1</f>
        <v>9.6470000000000002</v>
      </c>
      <c r="G550" s="10"/>
    </row>
    <row r="551" spans="1:7" ht="15" customHeight="1" x14ac:dyDescent="0.25">
      <c r="A551" t="str">
        <f>IFERROR(VLOOKUP(Tabela15[[#This Row],[Produto]],[1]Planilha1!$K$3:$N$300,4,0),"NÃO")</f>
        <v>NÃO</v>
      </c>
      <c r="B551" s="7">
        <v>953</v>
      </c>
      <c r="C551" s="7" t="s">
        <v>605</v>
      </c>
      <c r="D551" s="7" t="s">
        <v>83</v>
      </c>
      <c r="E551" s="7" t="s">
        <v>573</v>
      </c>
      <c r="F551" s="15">
        <f>[2]!Tabela15[[#This Row],[Preço PIS/Cofins/ICMS]]*1.1</f>
        <v>4.3670000000000009</v>
      </c>
      <c r="G551" s="10"/>
    </row>
    <row r="552" spans="1:7" ht="15" customHeight="1" x14ac:dyDescent="0.25">
      <c r="A552" t="str">
        <f>IFERROR(VLOOKUP(Tabela15[[#This Row],[Produto]],[1]Planilha1!$K$3:$N$300,4,0),"NÃO")</f>
        <v>NÃO</v>
      </c>
      <c r="B552" s="7">
        <v>955</v>
      </c>
      <c r="C552" s="7" t="s">
        <v>606</v>
      </c>
      <c r="D552" s="7" t="s">
        <v>164</v>
      </c>
      <c r="E552" s="7" t="s">
        <v>592</v>
      </c>
      <c r="F552" s="15">
        <f>[2]!Tabela15[[#This Row],[Preço PIS/Cofins/ICMS]]*1.1</f>
        <v>14.652000000000001</v>
      </c>
      <c r="G552" s="10"/>
    </row>
    <row r="553" spans="1:7" ht="15" customHeight="1" x14ac:dyDescent="0.25">
      <c r="A553" t="str">
        <f>IFERROR(VLOOKUP(Tabela15[[#This Row],[Produto]],[1]Planilha1!$K$3:$N$300,4,0),"NÃO")</f>
        <v>NÃO</v>
      </c>
      <c r="B553" s="7">
        <v>956</v>
      </c>
      <c r="C553" s="7" t="s">
        <v>607</v>
      </c>
      <c r="D553" s="7" t="s">
        <v>83</v>
      </c>
      <c r="E553" s="7" t="s">
        <v>573</v>
      </c>
      <c r="F553" s="15">
        <f>[2]!Tabela15[[#This Row],[Preço PIS/Cofins/ICMS]]*1.1</f>
        <v>6.3030000000000008</v>
      </c>
      <c r="G553" s="10"/>
    </row>
    <row r="554" spans="1:7" ht="15" customHeight="1" x14ac:dyDescent="0.25">
      <c r="A554" t="str">
        <f>IFERROR(VLOOKUP(Tabela15[[#This Row],[Produto]],[1]Planilha1!$K$3:$N$300,4,0),"NÃO")</f>
        <v>NÃO</v>
      </c>
      <c r="B554" s="7">
        <v>957</v>
      </c>
      <c r="C554" s="7" t="s">
        <v>608</v>
      </c>
      <c r="D554" s="7" t="s">
        <v>83</v>
      </c>
      <c r="E554" s="7" t="s">
        <v>573</v>
      </c>
      <c r="F554" s="15">
        <f>[2]!Tabela15[[#This Row],[Preço PIS/Cofins/ICMS]]*1.1</f>
        <v>16.335000000000001</v>
      </c>
      <c r="G554" s="10"/>
    </row>
    <row r="555" spans="1:7" ht="15" customHeight="1" x14ac:dyDescent="0.25">
      <c r="A555" t="str">
        <f>IFERROR(VLOOKUP(Tabela15[[#This Row],[Produto]],[1]Planilha1!$K$3:$N$300,4,0),"NÃO")</f>
        <v>NÃO</v>
      </c>
      <c r="B555" s="7">
        <v>958</v>
      </c>
      <c r="C555" s="7" t="s">
        <v>609</v>
      </c>
      <c r="D555" s="7" t="s">
        <v>83</v>
      </c>
      <c r="E555" s="7" t="s">
        <v>573</v>
      </c>
      <c r="F555" s="15">
        <f>[2]!Tabela15[[#This Row],[Preço PIS/Cofins/ICMS]]*1.1</f>
        <v>11.990000000000002</v>
      </c>
      <c r="G555" s="10"/>
    </row>
    <row r="556" spans="1:7" ht="15" customHeight="1" x14ac:dyDescent="0.25">
      <c r="A556" t="str">
        <f>IFERROR(VLOOKUP(Tabela15[[#This Row],[Produto]],[1]Planilha1!$K$3:$N$300,4,0),"NÃO")</f>
        <v>NÃO</v>
      </c>
      <c r="B556" s="7">
        <v>960</v>
      </c>
      <c r="C556" s="7" t="s">
        <v>610</v>
      </c>
      <c r="D556" s="7" t="s">
        <v>83</v>
      </c>
      <c r="E556" s="7" t="s">
        <v>611</v>
      </c>
      <c r="F556" s="15">
        <f>[2]!Tabela15[[#This Row],[Preço PIS/Cofins/ICMS]]*1.1</f>
        <v>6.2590000000000012</v>
      </c>
      <c r="G556" s="10"/>
    </row>
    <row r="557" spans="1:7" ht="15" customHeight="1" x14ac:dyDescent="0.25">
      <c r="A557" t="str">
        <f>IFERROR(VLOOKUP(Tabela15[[#This Row],[Produto]],[1]Planilha1!$K$3:$N$300,4,0),"NÃO")</f>
        <v>NÃO</v>
      </c>
      <c r="B557" s="7">
        <v>961</v>
      </c>
      <c r="C557" s="7" t="s">
        <v>612</v>
      </c>
      <c r="D557" s="7" t="s">
        <v>83</v>
      </c>
      <c r="E557" s="7" t="s">
        <v>611</v>
      </c>
      <c r="F557" s="15">
        <f>[2]!Tabela15[[#This Row],[Preço PIS/Cofins/ICMS]]*1.1</f>
        <v>8.1510000000000016</v>
      </c>
      <c r="G557" s="10"/>
    </row>
    <row r="558" spans="1:7" ht="15" customHeight="1" x14ac:dyDescent="0.25">
      <c r="A558" t="str">
        <f>IFERROR(VLOOKUP(Tabela15[[#This Row],[Produto]],[1]Planilha1!$K$3:$N$300,4,0),"NÃO")</f>
        <v>NÃO</v>
      </c>
      <c r="B558" s="7">
        <v>962</v>
      </c>
      <c r="C558" s="7" t="s">
        <v>613</v>
      </c>
      <c r="D558" s="7" t="s">
        <v>83</v>
      </c>
      <c r="E558" s="7" t="s">
        <v>611</v>
      </c>
      <c r="F558" s="15">
        <f>[2]!Tabela15[[#This Row],[Preço PIS/Cofins/ICMS]]*1.1</f>
        <v>91.938000000000002</v>
      </c>
      <c r="G558" s="10"/>
    </row>
    <row r="559" spans="1:7" ht="15" customHeight="1" x14ac:dyDescent="0.25">
      <c r="A559" t="str">
        <f>IFERROR(VLOOKUP(Tabela15[[#This Row],[Produto]],[1]Planilha1!$K$3:$N$300,4,0),"NÃO")</f>
        <v>NÃO</v>
      </c>
      <c r="B559" s="7">
        <v>963</v>
      </c>
      <c r="C559" s="7" t="s">
        <v>614</v>
      </c>
      <c r="D559" s="7" t="s">
        <v>83</v>
      </c>
      <c r="E559" s="7" t="s">
        <v>611</v>
      </c>
      <c r="F559" s="15">
        <f>[2]!Tabela15[[#This Row],[Preço PIS/Cofins/ICMS]]*1.1</f>
        <v>134.53</v>
      </c>
      <c r="G559" s="10"/>
    </row>
    <row r="560" spans="1:7" ht="15" customHeight="1" x14ac:dyDescent="0.25">
      <c r="A560" t="str">
        <f>IFERROR(VLOOKUP(Tabela15[[#This Row],[Produto]],[1]Planilha1!$K$3:$N$300,4,0),"NÃO")</f>
        <v>NÃO</v>
      </c>
      <c r="B560" s="7">
        <v>964</v>
      </c>
      <c r="C560" s="7" t="s">
        <v>615</v>
      </c>
      <c r="D560" s="7" t="s">
        <v>83</v>
      </c>
      <c r="E560" s="7" t="s">
        <v>616</v>
      </c>
      <c r="F560" s="15">
        <f>[2]!Tabela15[[#This Row],[Preço PIS/Cofins/ICMS]]*1.1</f>
        <v>17.170999999999999</v>
      </c>
      <c r="G560" s="10"/>
    </row>
    <row r="561" spans="1:7" ht="15" customHeight="1" x14ac:dyDescent="0.25">
      <c r="A561" t="str">
        <f>IFERROR(VLOOKUP(Tabela15[[#This Row],[Produto]],[1]Planilha1!$K$3:$N$300,4,0),"NÃO")</f>
        <v>NÃO</v>
      </c>
      <c r="B561" s="7">
        <v>965</v>
      </c>
      <c r="C561" s="7" t="s">
        <v>617</v>
      </c>
      <c r="D561" s="7" t="s">
        <v>83</v>
      </c>
      <c r="E561" s="7" t="s">
        <v>616</v>
      </c>
      <c r="F561" s="15">
        <f>[2]!Tabela15[[#This Row],[Preço PIS/Cofins/ICMS]]*1.1</f>
        <v>5.8190000000000008</v>
      </c>
      <c r="G561" s="10"/>
    </row>
    <row r="562" spans="1:7" ht="15" customHeight="1" x14ac:dyDescent="0.25">
      <c r="A562" t="str">
        <f>IFERROR(VLOOKUP(Tabela15[[#This Row],[Produto]],[1]Planilha1!$K$3:$N$300,4,0),"NÃO")</f>
        <v>NÃO</v>
      </c>
      <c r="B562" s="7">
        <v>966</v>
      </c>
      <c r="C562" s="7" t="s">
        <v>618</v>
      </c>
      <c r="D562" s="7" t="s">
        <v>83</v>
      </c>
      <c r="E562" s="7" t="s">
        <v>616</v>
      </c>
      <c r="F562" s="15">
        <f>[2]!Tabela15[[#This Row],[Preço PIS/Cofins/ICMS]]*1.1</f>
        <v>7.3810000000000002</v>
      </c>
      <c r="G562" s="10"/>
    </row>
    <row r="563" spans="1:7" ht="15" customHeight="1" x14ac:dyDescent="0.25">
      <c r="A563" t="str">
        <f>IFERROR(VLOOKUP(Tabela15[[#This Row],[Produto]],[1]Planilha1!$K$3:$N$300,4,0),"NÃO")</f>
        <v>NÃO</v>
      </c>
      <c r="B563" s="7">
        <v>967</v>
      </c>
      <c r="C563" s="7" t="s">
        <v>619</v>
      </c>
      <c r="D563" s="7" t="s">
        <v>83</v>
      </c>
      <c r="E563" s="7" t="s">
        <v>573</v>
      </c>
      <c r="F563" s="15">
        <f>[2]!Tabela15[[#This Row],[Preço PIS/Cofins/ICMS]]*1.1</f>
        <v>18.447000000000003</v>
      </c>
      <c r="G563" s="10"/>
    </row>
    <row r="564" spans="1:7" ht="15" customHeight="1" x14ac:dyDescent="0.25">
      <c r="A564" t="str">
        <f>IFERROR(VLOOKUP(Tabela15[[#This Row],[Produto]],[1]Planilha1!$K$3:$N$300,4,0),"NÃO")</f>
        <v>NÃO</v>
      </c>
      <c r="B564" s="7">
        <v>968</v>
      </c>
      <c r="C564" s="7" t="s">
        <v>620</v>
      </c>
      <c r="D564" s="7" t="s">
        <v>83</v>
      </c>
      <c r="E564" s="7" t="s">
        <v>573</v>
      </c>
      <c r="F564" s="15">
        <f>[2]!Tabela15[[#This Row],[Preço PIS/Cofins/ICMS]]*1.1</f>
        <v>32.802</v>
      </c>
      <c r="G564" s="10"/>
    </row>
    <row r="565" spans="1:7" ht="15" customHeight="1" x14ac:dyDescent="0.25">
      <c r="A565" t="str">
        <f>IFERROR(VLOOKUP(Tabela15[[#This Row],[Produto]],[1]Planilha1!$K$3:$N$300,4,0),"NÃO")</f>
        <v>NÃO</v>
      </c>
      <c r="B565" s="7">
        <v>969</v>
      </c>
      <c r="C565" s="7" t="s">
        <v>621</v>
      </c>
      <c r="D565" s="7" t="s">
        <v>83</v>
      </c>
      <c r="E565" s="7" t="s">
        <v>573</v>
      </c>
      <c r="F565" s="15">
        <f>[2]!Tabela15[[#This Row],[Preço PIS/Cofins/ICMS]]*1.1</f>
        <v>32.395000000000003</v>
      </c>
      <c r="G565" s="10"/>
    </row>
    <row r="566" spans="1:7" ht="15" customHeight="1" x14ac:dyDescent="0.25">
      <c r="A566" t="str">
        <f>IFERROR(VLOOKUP(Tabela15[[#This Row],[Produto]],[1]Planilha1!$K$3:$N$300,4,0),"NÃO")</f>
        <v>NÃO</v>
      </c>
      <c r="B566" s="7">
        <v>983</v>
      </c>
      <c r="C566" s="7" t="s">
        <v>622</v>
      </c>
      <c r="D566" s="7" t="s">
        <v>83</v>
      </c>
      <c r="E566" s="7" t="s">
        <v>573</v>
      </c>
      <c r="F566" s="15">
        <f>[2]!Tabela15[[#This Row],[Preço PIS/Cofins/ICMS]]*1.1</f>
        <v>57.684000000000005</v>
      </c>
      <c r="G566" s="10"/>
    </row>
    <row r="567" spans="1:7" ht="15" customHeight="1" x14ac:dyDescent="0.25">
      <c r="A567" t="str">
        <f>IFERROR(VLOOKUP(Tabela15[[#This Row],[Produto]],[1]Planilha1!$K$3:$N$300,4,0),"NÃO")</f>
        <v>NÃO</v>
      </c>
      <c r="B567" s="7">
        <v>984</v>
      </c>
      <c r="C567" s="7" t="s">
        <v>623</v>
      </c>
      <c r="D567" s="7" t="s">
        <v>83</v>
      </c>
      <c r="E567" s="7" t="s">
        <v>573</v>
      </c>
      <c r="F567" s="15">
        <f>[2]!Tabela15[[#This Row],[Preço PIS/Cofins/ICMS]]*1.1</f>
        <v>44.781000000000006</v>
      </c>
      <c r="G567" s="10"/>
    </row>
    <row r="568" spans="1:7" ht="15" customHeight="1" x14ac:dyDescent="0.25">
      <c r="A568" t="str">
        <f>IFERROR(VLOOKUP(Tabela15[[#This Row],[Produto]],[1]Planilha1!$K$3:$N$300,4,0),"NÃO")</f>
        <v>NÃO</v>
      </c>
      <c r="B568" s="7">
        <v>985</v>
      </c>
      <c r="C568" s="7" t="s">
        <v>624</v>
      </c>
      <c r="D568" s="7" t="s">
        <v>83</v>
      </c>
      <c r="E568" s="7" t="s">
        <v>573</v>
      </c>
      <c r="F568" s="15">
        <f>[2]!Tabela15[[#This Row],[Preço PIS/Cofins/ICMS]]*1.1</f>
        <v>31.724000000000004</v>
      </c>
      <c r="G568" s="10"/>
    </row>
    <row r="569" spans="1:7" ht="15" customHeight="1" x14ac:dyDescent="0.25">
      <c r="A569" t="str">
        <f>IFERROR(VLOOKUP(Tabela15[[#This Row],[Produto]],[1]Planilha1!$K$3:$N$300,4,0),"NÃO")</f>
        <v>NÃO</v>
      </c>
      <c r="B569" s="7">
        <v>986</v>
      </c>
      <c r="C569" s="7" t="s">
        <v>625</v>
      </c>
      <c r="D569" s="7" t="s">
        <v>83</v>
      </c>
      <c r="E569" s="7" t="s">
        <v>573</v>
      </c>
      <c r="F569" s="15">
        <f>[2]!Tabela15[[#This Row],[Preço PIS/Cofins/ICMS]]*1.1</f>
        <v>26.345000000000002</v>
      </c>
      <c r="G569" s="10"/>
    </row>
    <row r="570" spans="1:7" ht="15" customHeight="1" x14ac:dyDescent="0.25">
      <c r="A570" t="str">
        <f>IFERROR(VLOOKUP(Tabela15[[#This Row],[Produto]],[1]Planilha1!$K$3:$N$300,4,0),"NÃO")</f>
        <v>NÃO</v>
      </c>
      <c r="B570" s="7">
        <v>1061</v>
      </c>
      <c r="C570" s="7" t="s">
        <v>626</v>
      </c>
      <c r="D570" s="7" t="s">
        <v>482</v>
      </c>
      <c r="E570" s="7" t="s">
        <v>627</v>
      </c>
      <c r="F570" s="15">
        <f>[2]!Tabela15[[#This Row],[Preço PIS/Cofins/ICMS]]*1.1</f>
        <v>4.6750000000000007</v>
      </c>
      <c r="G570" s="10"/>
    </row>
    <row r="571" spans="1:7" ht="15" customHeight="1" x14ac:dyDescent="0.25">
      <c r="A571" t="str">
        <f>IFERROR(VLOOKUP(Tabela15[[#This Row],[Produto]],[1]Planilha1!$K$3:$N$300,4,0),"NÃO")</f>
        <v>NÃO</v>
      </c>
      <c r="B571" s="7">
        <v>1100</v>
      </c>
      <c r="C571" s="7" t="s">
        <v>628</v>
      </c>
      <c r="D571" s="7" t="s">
        <v>629</v>
      </c>
      <c r="E571" s="7" t="s">
        <v>630</v>
      </c>
      <c r="F571" s="16">
        <v>2.0790000000000002</v>
      </c>
      <c r="G571" s="10">
        <v>2.0790000000000002</v>
      </c>
    </row>
    <row r="572" spans="1:7" ht="15" customHeight="1" x14ac:dyDescent="0.25">
      <c r="A572" t="str">
        <f>IFERROR(VLOOKUP(Tabela15[[#This Row],[Produto]],[1]Planilha1!$K$3:$N$300,4,0),"NÃO")</f>
        <v>NÃO</v>
      </c>
      <c r="B572" s="7">
        <v>1101</v>
      </c>
      <c r="C572" s="7" t="s">
        <v>631</v>
      </c>
      <c r="D572" s="7" t="s">
        <v>629</v>
      </c>
      <c r="E572" s="7" t="s">
        <v>630</v>
      </c>
      <c r="F572" s="16">
        <v>3.0140000000000007</v>
      </c>
      <c r="G572" s="10">
        <v>3.0140000000000007</v>
      </c>
    </row>
    <row r="573" spans="1:7" ht="15" customHeight="1" x14ac:dyDescent="0.25">
      <c r="A573" t="str">
        <f>IFERROR(VLOOKUP(Tabela15[[#This Row],[Produto]],[1]Planilha1!$K$3:$N$300,4,0),"NÃO")</f>
        <v>NÃO</v>
      </c>
      <c r="B573" s="7">
        <v>1102</v>
      </c>
      <c r="C573" s="7" t="s">
        <v>632</v>
      </c>
      <c r="D573" s="7" t="s">
        <v>629</v>
      </c>
      <c r="E573" s="7" t="s">
        <v>630</v>
      </c>
      <c r="F573" s="16">
        <v>4.3523333333333332</v>
      </c>
      <c r="G573" s="10">
        <v>4.3523333333333332</v>
      </c>
    </row>
    <row r="574" spans="1:7" ht="15" customHeight="1" x14ac:dyDescent="0.25">
      <c r="A574" t="str">
        <f>IFERROR(VLOOKUP(Tabela15[[#This Row],[Produto]],[1]Planilha1!$K$3:$N$300,4,0),"NÃO")</f>
        <v>NÃO</v>
      </c>
      <c r="B574" s="7">
        <v>1103</v>
      </c>
      <c r="C574" s="7" t="s">
        <v>633</v>
      </c>
      <c r="D574" s="7" t="s">
        <v>629</v>
      </c>
      <c r="E574" s="7" t="s">
        <v>630</v>
      </c>
      <c r="F574" s="16">
        <v>5.8446666666666678</v>
      </c>
      <c r="G574" s="10">
        <v>5.8446666666666678</v>
      </c>
    </row>
    <row r="575" spans="1:7" ht="15" customHeight="1" x14ac:dyDescent="0.25">
      <c r="A575" t="str">
        <f>IFERROR(VLOOKUP(Tabela15[[#This Row],[Produto]],[1]Planilha1!$K$3:$N$300,4,0),"NÃO")</f>
        <v>NÃO</v>
      </c>
      <c r="B575" s="7">
        <v>1104</v>
      </c>
      <c r="C575" s="7" t="s">
        <v>634</v>
      </c>
      <c r="D575" s="7" t="s">
        <v>629</v>
      </c>
      <c r="E575" s="7" t="s">
        <v>630</v>
      </c>
      <c r="F575" s="16">
        <v>7.2489999999999997</v>
      </c>
      <c r="G575" s="10">
        <v>7.2489999999999997</v>
      </c>
    </row>
    <row r="576" spans="1:7" ht="15" customHeight="1" x14ac:dyDescent="0.25">
      <c r="A576" t="str">
        <f>IFERROR(VLOOKUP(Tabela15[[#This Row],[Produto]],[1]Planilha1!$K$3:$N$300,4,0),"NÃO")</f>
        <v>NÃO</v>
      </c>
      <c r="B576" s="7">
        <v>1105</v>
      </c>
      <c r="C576" s="7" t="s">
        <v>635</v>
      </c>
      <c r="D576" s="7" t="s">
        <v>629</v>
      </c>
      <c r="E576" s="7" t="s">
        <v>630</v>
      </c>
      <c r="F576" s="16">
        <v>9.2583333333333346</v>
      </c>
      <c r="G576" s="10">
        <v>9.2583333333333346</v>
      </c>
    </row>
    <row r="577" spans="1:7" ht="15" customHeight="1" x14ac:dyDescent="0.25">
      <c r="A577" t="str">
        <f>IFERROR(VLOOKUP(Tabela15[[#This Row],[Produto]],[1]Planilha1!$K$3:$N$300,4,0),"NÃO")</f>
        <v>NÃO</v>
      </c>
      <c r="B577" s="7">
        <v>1106</v>
      </c>
      <c r="C577" s="7" t="s">
        <v>636</v>
      </c>
      <c r="D577" s="7" t="s">
        <v>629</v>
      </c>
      <c r="E577" s="7" t="s">
        <v>630</v>
      </c>
      <c r="F577" s="16">
        <v>16.675999999999998</v>
      </c>
      <c r="G577" s="10">
        <v>16.675999999999998</v>
      </c>
    </row>
    <row r="578" spans="1:7" ht="15" customHeight="1" x14ac:dyDescent="0.25">
      <c r="A578" t="str">
        <f>IFERROR(VLOOKUP(Tabela15[[#This Row],[Produto]],[1]Planilha1!$K$3:$N$300,4,0),"NÃO")</f>
        <v>NÃO</v>
      </c>
      <c r="B578" s="7">
        <v>1107</v>
      </c>
      <c r="C578" s="7" t="s">
        <v>637</v>
      </c>
      <c r="D578" s="7" t="s">
        <v>629</v>
      </c>
      <c r="E578" s="7" t="s">
        <v>630</v>
      </c>
      <c r="F578" s="16">
        <v>25.512666666666671</v>
      </c>
      <c r="G578" s="10">
        <v>25.512666666666671</v>
      </c>
    </row>
    <row r="579" spans="1:7" ht="15" customHeight="1" x14ac:dyDescent="0.25">
      <c r="A579" t="str">
        <f>IFERROR(VLOOKUP(Tabela15[[#This Row],[Produto]],[1]Planilha1!$K$3:$N$300,4,0),"NÃO")</f>
        <v>NÃO</v>
      </c>
      <c r="B579" s="7">
        <v>1108</v>
      </c>
      <c r="C579" s="7" t="s">
        <v>638</v>
      </c>
      <c r="D579" s="7" t="s">
        <v>629</v>
      </c>
      <c r="E579" s="7" t="s">
        <v>630</v>
      </c>
      <c r="F579" s="16">
        <v>15.469666666666667</v>
      </c>
      <c r="G579" s="10">
        <v>15.469666666666667</v>
      </c>
    </row>
    <row r="580" spans="1:7" ht="15" customHeight="1" x14ac:dyDescent="0.25">
      <c r="A580" t="str">
        <f>IFERROR(VLOOKUP(Tabela15[[#This Row],[Produto]],[1]Planilha1!$K$3:$N$300,4,0),"NÃO")</f>
        <v>NÃO</v>
      </c>
      <c r="B580" s="7">
        <v>1142</v>
      </c>
      <c r="C580" s="7" t="s">
        <v>639</v>
      </c>
      <c r="D580" s="7" t="s">
        <v>83</v>
      </c>
      <c r="E580" s="7" t="s">
        <v>640</v>
      </c>
      <c r="F580" s="15">
        <f>[2]!Tabela15[[#This Row],[Preço PIS/Cofins/ICMS]]*1.1</f>
        <v>0.80300000000000005</v>
      </c>
      <c r="G580" s="10"/>
    </row>
    <row r="581" spans="1:7" ht="15" customHeight="1" x14ac:dyDescent="0.25">
      <c r="A581" t="str">
        <f>IFERROR(VLOOKUP(Tabela15[[#This Row],[Produto]],[1]Planilha1!$K$3:$N$300,4,0),"NÃO")</f>
        <v>NÃO</v>
      </c>
      <c r="B581" s="7">
        <v>1143</v>
      </c>
      <c r="C581" s="7" t="s">
        <v>641</v>
      </c>
      <c r="D581" s="7" t="s">
        <v>83</v>
      </c>
      <c r="E581" s="7" t="s">
        <v>640</v>
      </c>
      <c r="F581" s="15">
        <f>[2]!Tabela15[[#This Row],[Preço PIS/Cofins/ICMS]]*1.1</f>
        <v>1.1110000000000002</v>
      </c>
      <c r="G581" s="10"/>
    </row>
    <row r="582" spans="1:7" ht="15" customHeight="1" x14ac:dyDescent="0.25">
      <c r="A582" t="str">
        <f>IFERROR(VLOOKUP(Tabela15[[#This Row],[Produto]],[1]Planilha1!$K$3:$N$300,4,0),"NÃO")</f>
        <v>NÃO</v>
      </c>
      <c r="B582" s="7">
        <v>1144</v>
      </c>
      <c r="C582" s="7" t="s">
        <v>642</v>
      </c>
      <c r="D582" s="7" t="s">
        <v>83</v>
      </c>
      <c r="E582" s="7" t="s">
        <v>640</v>
      </c>
      <c r="F582" s="15">
        <f>[2]!Tabela15[[#This Row],[Preço PIS/Cofins/ICMS]]*1.1</f>
        <v>1.3860000000000001</v>
      </c>
      <c r="G582" s="10"/>
    </row>
    <row r="583" spans="1:7" ht="15" customHeight="1" x14ac:dyDescent="0.25">
      <c r="A583" t="str">
        <f>IFERROR(VLOOKUP(Tabela15[[#This Row],[Produto]],[1]Planilha1!$K$3:$N$300,4,0),"NÃO")</f>
        <v>NÃO</v>
      </c>
      <c r="B583" s="7">
        <v>1145</v>
      </c>
      <c r="C583" s="7" t="s">
        <v>643</v>
      </c>
      <c r="D583" s="7" t="s">
        <v>83</v>
      </c>
      <c r="E583" s="7" t="s">
        <v>640</v>
      </c>
      <c r="F583" s="15">
        <f>[2]!Tabela15[[#This Row],[Preço PIS/Cofins/ICMS]]*1.1</f>
        <v>1.5840000000000001</v>
      </c>
      <c r="G583" s="10"/>
    </row>
    <row r="584" spans="1:7" ht="15" customHeight="1" x14ac:dyDescent="0.25">
      <c r="A584" t="str">
        <f>IFERROR(VLOOKUP(Tabela15[[#This Row],[Produto]],[1]Planilha1!$K$3:$N$300,4,0),"NÃO")</f>
        <v>NÃO</v>
      </c>
      <c r="B584" s="7">
        <v>1146</v>
      </c>
      <c r="C584" s="7" t="s">
        <v>644</v>
      </c>
      <c r="D584" s="7" t="s">
        <v>83</v>
      </c>
      <c r="E584" s="7" t="s">
        <v>640</v>
      </c>
      <c r="F584" s="15">
        <f>[2]!Tabela15[[#This Row],[Preço PIS/Cofins/ICMS]]*1.1</f>
        <v>1.9250000000000003</v>
      </c>
      <c r="G584" s="10"/>
    </row>
    <row r="585" spans="1:7" ht="15" customHeight="1" x14ac:dyDescent="0.25">
      <c r="A585" t="str">
        <f>IFERROR(VLOOKUP(Tabela15[[#This Row],[Produto]],[1]Planilha1!$K$3:$N$300,4,0),"NÃO")</f>
        <v>NÃO</v>
      </c>
      <c r="B585" s="7">
        <v>1151</v>
      </c>
      <c r="C585" s="7" t="s">
        <v>645</v>
      </c>
      <c r="D585" s="7" t="s">
        <v>83</v>
      </c>
      <c r="E585" s="7" t="s">
        <v>640</v>
      </c>
      <c r="F585" s="15">
        <f>[2]!Tabela15[[#This Row],[Preço PIS/Cofins/ICMS]]*1.1</f>
        <v>0.86900000000000011</v>
      </c>
      <c r="G585" s="10"/>
    </row>
    <row r="586" spans="1:7" ht="15" customHeight="1" x14ac:dyDescent="0.25">
      <c r="A586" t="str">
        <f>IFERROR(VLOOKUP(Tabela15[[#This Row],[Produto]],[1]Planilha1!$K$3:$N$300,4,0),"NÃO")</f>
        <v>NÃO</v>
      </c>
      <c r="B586" s="7">
        <v>1152</v>
      </c>
      <c r="C586" s="7" t="s">
        <v>646</v>
      </c>
      <c r="D586" s="7" t="s">
        <v>83</v>
      </c>
      <c r="E586" s="7" t="s">
        <v>640</v>
      </c>
      <c r="F586" s="15">
        <f>[2]!Tabela15[[#This Row],[Preço PIS/Cofins/ICMS]]*1.1</f>
        <v>1.089</v>
      </c>
      <c r="G586" s="10"/>
    </row>
    <row r="587" spans="1:7" ht="15" customHeight="1" x14ac:dyDescent="0.25">
      <c r="A587" t="str">
        <f>IFERROR(VLOOKUP(Tabela15[[#This Row],[Produto]],[1]Planilha1!$K$3:$N$300,4,0),"NÃO")</f>
        <v>NÃO</v>
      </c>
      <c r="B587" s="7">
        <v>1153</v>
      </c>
      <c r="C587" s="7" t="s">
        <v>647</v>
      </c>
      <c r="D587" s="7" t="s">
        <v>83</v>
      </c>
      <c r="E587" s="7" t="s">
        <v>640</v>
      </c>
      <c r="F587" s="15">
        <f>[2]!Tabela15[[#This Row],[Preço PIS/Cofins/ICMS]]*1.1</f>
        <v>1.4300000000000002</v>
      </c>
      <c r="G587" s="10"/>
    </row>
    <row r="588" spans="1:7" ht="15" customHeight="1" x14ac:dyDescent="0.25">
      <c r="A588" t="str">
        <f>IFERROR(VLOOKUP(Tabela15[[#This Row],[Produto]],[1]Planilha1!$K$3:$N$300,4,0),"NÃO")</f>
        <v>NÃO</v>
      </c>
      <c r="B588" s="7">
        <v>1154</v>
      </c>
      <c r="C588" s="7" t="s">
        <v>648</v>
      </c>
      <c r="D588" s="7" t="s">
        <v>83</v>
      </c>
      <c r="E588" s="7" t="s">
        <v>649</v>
      </c>
      <c r="F588" s="15">
        <f>[2]!Tabela15[[#This Row],[Preço PIS/Cofins/ICMS]]*1.1</f>
        <v>5.995000000000001</v>
      </c>
      <c r="G588" s="10"/>
    </row>
    <row r="589" spans="1:7" ht="15" customHeight="1" x14ac:dyDescent="0.25">
      <c r="A589" t="str">
        <f>IFERROR(VLOOKUP(Tabela15[[#This Row],[Produto]],[1]Planilha1!$K$3:$N$300,4,0),"NÃO")</f>
        <v>NÃO</v>
      </c>
      <c r="B589" s="7">
        <v>1155</v>
      </c>
      <c r="C589" s="7" t="s">
        <v>650</v>
      </c>
      <c r="D589" s="7" t="s">
        <v>83</v>
      </c>
      <c r="E589" s="7" t="s">
        <v>649</v>
      </c>
      <c r="F589" s="15">
        <f>[2]!Tabela15[[#This Row],[Preço PIS/Cofins/ICMS]]*1.1</f>
        <v>6.8970000000000002</v>
      </c>
      <c r="G589" s="10"/>
    </row>
    <row r="590" spans="1:7" ht="15" customHeight="1" x14ac:dyDescent="0.25">
      <c r="A590" t="str">
        <f>IFERROR(VLOOKUP(Tabela15[[#This Row],[Produto]],[1]Planilha1!$K$3:$N$300,4,0),"NÃO")</f>
        <v>NÃO</v>
      </c>
      <c r="B590" s="7">
        <v>1156</v>
      </c>
      <c r="C590" s="7" t="s">
        <v>651</v>
      </c>
      <c r="D590" s="7" t="s">
        <v>83</v>
      </c>
      <c r="E590" s="7" t="s">
        <v>649</v>
      </c>
      <c r="F590" s="15">
        <f>[2]!Tabela15[[#This Row],[Preço PIS/Cofins/ICMS]]*1.1</f>
        <v>6.391</v>
      </c>
      <c r="G590" s="10"/>
    </row>
    <row r="591" spans="1:7" ht="15" customHeight="1" x14ac:dyDescent="0.25">
      <c r="A591" t="str">
        <f>IFERROR(VLOOKUP(Tabela15[[#This Row],[Produto]],[1]Planilha1!$K$3:$N$300,4,0),"NÃO")</f>
        <v>NÃO</v>
      </c>
      <c r="B591" s="7">
        <v>1157</v>
      </c>
      <c r="C591" s="7" t="s">
        <v>652</v>
      </c>
      <c r="D591" s="7" t="s">
        <v>83</v>
      </c>
      <c r="E591" s="7" t="s">
        <v>649</v>
      </c>
      <c r="F591" s="15">
        <f>[2]!Tabela15[[#This Row],[Preço PIS/Cofins/ICMS]]*1.1</f>
        <v>27.291</v>
      </c>
      <c r="G591" s="10"/>
    </row>
    <row r="592" spans="1:7" ht="15" customHeight="1" x14ac:dyDescent="0.25">
      <c r="A592" t="str">
        <f>IFERROR(VLOOKUP(Tabela15[[#This Row],[Produto]],[1]Planilha1!$K$3:$N$300,4,0),"NÃO")</f>
        <v>NÃO</v>
      </c>
      <c r="B592" s="7">
        <v>1158</v>
      </c>
      <c r="C592" s="7" t="s">
        <v>653</v>
      </c>
      <c r="D592" s="7" t="s">
        <v>83</v>
      </c>
      <c r="E592" s="7" t="s">
        <v>649</v>
      </c>
      <c r="F592" s="15">
        <f>[2]!Tabela15[[#This Row],[Preço PIS/Cofins/ICMS]]*1.1</f>
        <v>20.196000000000002</v>
      </c>
      <c r="G592" s="10"/>
    </row>
    <row r="593" spans="1:7" ht="15" customHeight="1" x14ac:dyDescent="0.25">
      <c r="A593" t="str">
        <f>IFERROR(VLOOKUP(Tabela15[[#This Row],[Produto]],[1]Planilha1!$K$3:$N$300,4,0),"NÃO")</f>
        <v>NÃO</v>
      </c>
      <c r="B593" s="7">
        <v>1159</v>
      </c>
      <c r="C593" s="7" t="s">
        <v>654</v>
      </c>
      <c r="D593" s="7" t="s">
        <v>83</v>
      </c>
      <c r="E593" s="7" t="s">
        <v>649</v>
      </c>
      <c r="F593" s="15">
        <f>[2]!Tabela15[[#This Row],[Preço PIS/Cofins/ICMS]]*1.1</f>
        <v>38.466999999999999</v>
      </c>
      <c r="G593" s="10"/>
    </row>
    <row r="594" spans="1:7" ht="15" customHeight="1" x14ac:dyDescent="0.25">
      <c r="A594" t="str">
        <f>IFERROR(VLOOKUP(Tabela15[[#This Row],[Produto]],[1]Planilha1!$K$3:$N$300,4,0),"NÃO")</f>
        <v>NÃO</v>
      </c>
      <c r="B594" s="7">
        <v>1160</v>
      </c>
      <c r="C594" s="7" t="s">
        <v>655</v>
      </c>
      <c r="D594" s="7" t="s">
        <v>83</v>
      </c>
      <c r="E594" s="7" t="s">
        <v>649</v>
      </c>
      <c r="F594" s="15">
        <f>[2]!Tabela15[[#This Row],[Preço PIS/Cofins/ICMS]]*1.1</f>
        <v>5.753000000000001</v>
      </c>
      <c r="G594" s="10"/>
    </row>
    <row r="595" spans="1:7" ht="15" customHeight="1" x14ac:dyDescent="0.25">
      <c r="A595" t="str">
        <f>IFERROR(VLOOKUP(Tabela15[[#This Row],[Produto]],[1]Planilha1!$K$3:$N$300,4,0),"NÃO")</f>
        <v>NÃO</v>
      </c>
      <c r="B595" s="7">
        <v>1161</v>
      </c>
      <c r="C595" s="7" t="s">
        <v>656</v>
      </c>
      <c r="D595" s="7" t="s">
        <v>83</v>
      </c>
      <c r="E595" s="7" t="s">
        <v>649</v>
      </c>
      <c r="F595" s="15">
        <f>[2]!Tabela15[[#This Row],[Preço PIS/Cofins/ICMS]]*1.1</f>
        <v>7.9860000000000007</v>
      </c>
      <c r="G595" s="10"/>
    </row>
    <row r="596" spans="1:7" ht="15" customHeight="1" x14ac:dyDescent="0.25">
      <c r="A596" t="str">
        <f>IFERROR(VLOOKUP(Tabela15[[#This Row],[Produto]],[1]Planilha1!$K$3:$N$300,4,0),"NÃO")</f>
        <v>NÃO</v>
      </c>
      <c r="B596" s="7">
        <v>1162</v>
      </c>
      <c r="C596" s="7" t="s">
        <v>657</v>
      </c>
      <c r="D596" s="7" t="s">
        <v>83</v>
      </c>
      <c r="E596" s="7" t="s">
        <v>649</v>
      </c>
      <c r="F596" s="15">
        <f>[2]!Tabela15[[#This Row],[Preço PIS/Cofins/ICMS]]*1.1</f>
        <v>4.7630000000000008</v>
      </c>
      <c r="G596" s="10"/>
    </row>
    <row r="597" spans="1:7" ht="15" customHeight="1" x14ac:dyDescent="0.25">
      <c r="A597" t="str">
        <f>IFERROR(VLOOKUP(Tabela15[[#This Row],[Produto]],[1]Planilha1!$K$3:$N$300,4,0),"NÃO")</f>
        <v>NÃO</v>
      </c>
      <c r="B597" s="7">
        <v>1163</v>
      </c>
      <c r="C597" s="7" t="s">
        <v>658</v>
      </c>
      <c r="D597" s="7" t="s">
        <v>83</v>
      </c>
      <c r="E597" s="7" t="s">
        <v>649</v>
      </c>
      <c r="F597" s="15">
        <f>[2]!Tabela15[[#This Row],[Preço PIS/Cofins/ICMS]]*1.1</f>
        <v>6.9740000000000002</v>
      </c>
      <c r="G597" s="10"/>
    </row>
    <row r="598" spans="1:7" ht="15" customHeight="1" x14ac:dyDescent="0.25">
      <c r="B598" s="7">
        <v>1165</v>
      </c>
      <c r="C598" s="7" t="s">
        <v>659</v>
      </c>
      <c r="D598" s="7" t="s">
        <v>83</v>
      </c>
      <c r="E598" s="7" t="s">
        <v>400</v>
      </c>
      <c r="F598" s="15">
        <f>[2]!Tabela15[[#This Row],[Preço PIS/Cofins/ICMS]]*1.1</f>
        <v>2.8930000000000002</v>
      </c>
      <c r="G598" s="10"/>
    </row>
    <row r="599" spans="1:7" ht="15" customHeight="1" x14ac:dyDescent="0.25">
      <c r="B599" s="7">
        <v>1166</v>
      </c>
      <c r="C599" s="7" t="s">
        <v>660</v>
      </c>
      <c r="D599" s="7" t="s">
        <v>83</v>
      </c>
      <c r="E599" s="7" t="s">
        <v>400</v>
      </c>
      <c r="F599" s="15">
        <f>[2]!Tabela15[[#This Row],[Preço PIS/Cofins/ICMS]]*1.1</f>
        <v>5.5440000000000005</v>
      </c>
      <c r="G599" s="10"/>
    </row>
    <row r="600" spans="1:7" ht="15" customHeight="1" x14ac:dyDescent="0.25">
      <c r="B600" s="7">
        <v>1167</v>
      </c>
      <c r="C600" s="7" t="s">
        <v>661</v>
      </c>
      <c r="D600" s="7" t="s">
        <v>83</v>
      </c>
      <c r="E600" s="7" t="s">
        <v>400</v>
      </c>
      <c r="F600" s="15">
        <f>[2]!Tabela15[[#This Row],[Preço PIS/Cofins/ICMS]]*1.1</f>
        <v>6.8420000000000005</v>
      </c>
      <c r="G600" s="10"/>
    </row>
    <row r="601" spans="1:7" ht="15" customHeight="1" x14ac:dyDescent="0.25">
      <c r="A601" t="str">
        <f>IFERROR(VLOOKUP(Tabela15[[#This Row],[Produto]],[1]Planilha1!$K$3:$N$300,4,0),"NÃO")</f>
        <v>NÃO</v>
      </c>
      <c r="B601" s="7">
        <v>1181</v>
      </c>
      <c r="C601" s="7" t="s">
        <v>662</v>
      </c>
      <c r="D601" s="7" t="s">
        <v>83</v>
      </c>
      <c r="E601" s="7" t="s">
        <v>640</v>
      </c>
      <c r="F601" s="15">
        <f>[2]!Tabela15[[#This Row],[Preço PIS/Cofins/ICMS]]*1.1</f>
        <v>0.53900000000000003</v>
      </c>
      <c r="G601" s="10"/>
    </row>
    <row r="602" spans="1:7" ht="15" customHeight="1" x14ac:dyDescent="0.25">
      <c r="A602" t="str">
        <f>IFERROR(VLOOKUP(Tabela15[[#This Row],[Produto]],[1]Planilha1!$K$3:$N$300,4,0),"NÃO")</f>
        <v>NÃO</v>
      </c>
      <c r="B602" s="7">
        <v>1182</v>
      </c>
      <c r="C602" s="7" t="s">
        <v>663</v>
      </c>
      <c r="D602" s="7" t="s">
        <v>83</v>
      </c>
      <c r="E602" s="7" t="s">
        <v>640</v>
      </c>
      <c r="F602" s="15">
        <f>[2]!Tabela15[[#This Row],[Preço PIS/Cofins/ICMS]]*1.1</f>
        <v>0.68200000000000005</v>
      </c>
      <c r="G602" s="10"/>
    </row>
    <row r="603" spans="1:7" ht="15" customHeight="1" x14ac:dyDescent="0.25">
      <c r="A603" t="str">
        <f>IFERROR(VLOOKUP(Tabela15[[#This Row],[Produto]],[1]Planilha1!$K$3:$N$300,4,0),"NÃO")</f>
        <v>NÃO</v>
      </c>
      <c r="B603" s="7">
        <v>1183</v>
      </c>
      <c r="C603" s="7" t="s">
        <v>664</v>
      </c>
      <c r="D603" s="7" t="s">
        <v>83</v>
      </c>
      <c r="E603" s="7" t="s">
        <v>640</v>
      </c>
      <c r="F603" s="15">
        <f>[2]!Tabela15[[#This Row],[Preço PIS/Cofins/ICMS]]*1.1</f>
        <v>1.0230000000000001</v>
      </c>
      <c r="G603" s="10"/>
    </row>
    <row r="604" spans="1:7" ht="15" customHeight="1" x14ac:dyDescent="0.25">
      <c r="A604" t="str">
        <f>IFERROR(VLOOKUP(Tabela15[[#This Row],[Produto]],[1]Planilha1!$K$3:$N$300,4,0),"NÃO")</f>
        <v>NÃO</v>
      </c>
      <c r="B604" s="7">
        <v>1184</v>
      </c>
      <c r="C604" s="7" t="s">
        <v>665</v>
      </c>
      <c r="D604" s="7" t="s">
        <v>83</v>
      </c>
      <c r="E604" s="7" t="s">
        <v>640</v>
      </c>
      <c r="F604" s="15">
        <f>[2]!Tabela15[[#This Row],[Preço PIS/Cofins/ICMS]]*1.1</f>
        <v>1.1660000000000001</v>
      </c>
      <c r="G604" s="10"/>
    </row>
    <row r="605" spans="1:7" ht="15" customHeight="1" x14ac:dyDescent="0.25">
      <c r="A605" t="str">
        <f>IFERROR(VLOOKUP(Tabela15[[#This Row],[Produto]],[1]Planilha1!$K$3:$N$300,4,0),"NÃO")</f>
        <v>NÃO</v>
      </c>
      <c r="B605" s="7">
        <v>1185</v>
      </c>
      <c r="C605" s="7" t="s">
        <v>666</v>
      </c>
      <c r="D605" s="7" t="s">
        <v>83</v>
      </c>
      <c r="E605" s="7" t="s">
        <v>640</v>
      </c>
      <c r="F605" s="15">
        <f>[2]!Tabela15[[#This Row],[Preço PIS/Cofins/ICMS]]*1.1</f>
        <v>1.54</v>
      </c>
      <c r="G605" s="10"/>
    </row>
    <row r="606" spans="1:7" ht="15" customHeight="1" x14ac:dyDescent="0.25">
      <c r="A606" t="str">
        <f>IFERROR(VLOOKUP(Tabela15[[#This Row],[Produto]],[1]Planilha1!$K$3:$N$300,4,0),"NÃO")</f>
        <v>NÃO</v>
      </c>
      <c r="B606" s="7">
        <v>1186</v>
      </c>
      <c r="C606" s="7" t="s">
        <v>667</v>
      </c>
      <c r="D606" s="7" t="s">
        <v>83</v>
      </c>
      <c r="E606" s="7" t="s">
        <v>640</v>
      </c>
      <c r="F606" s="15">
        <f>[2]!Tabela15[[#This Row],[Preço PIS/Cofins/ICMS]]*1.1</f>
        <v>2.871</v>
      </c>
      <c r="G606" s="10"/>
    </row>
    <row r="607" spans="1:7" ht="15" customHeight="1" x14ac:dyDescent="0.25">
      <c r="A607" t="str">
        <f>IFERROR(VLOOKUP(Tabela15[[#This Row],[Produto]],[1]Planilha1!$K$3:$N$300,4,0),"NÃO")</f>
        <v>NÃO</v>
      </c>
      <c r="B607" s="7">
        <v>1187</v>
      </c>
      <c r="C607" s="7" t="s">
        <v>668</v>
      </c>
      <c r="D607" s="7" t="s">
        <v>83</v>
      </c>
      <c r="E607" s="7" t="s">
        <v>640</v>
      </c>
      <c r="F607" s="15">
        <f>[2]!Tabela15[[#This Row],[Preço PIS/Cofins/ICMS]]*1.1</f>
        <v>4.0810000000000004</v>
      </c>
      <c r="G607" s="10"/>
    </row>
    <row r="608" spans="1:7" ht="15" customHeight="1" x14ac:dyDescent="0.25">
      <c r="A608" t="str">
        <f>IFERROR(VLOOKUP(Tabela15[[#This Row],[Produto]],[1]Planilha1!$K$3:$N$300,4,0),"NÃO")</f>
        <v>NÃO</v>
      </c>
      <c r="B608" s="7">
        <v>1188</v>
      </c>
      <c r="C608" s="7" t="s">
        <v>669</v>
      </c>
      <c r="D608" s="7" t="s">
        <v>83</v>
      </c>
      <c r="E608" s="7" t="s">
        <v>640</v>
      </c>
      <c r="F608" s="15">
        <f>[2]!Tabela15[[#This Row],[Preço PIS/Cofins/ICMS]]*1.1</f>
        <v>5.8630000000000004</v>
      </c>
      <c r="G608" s="10"/>
    </row>
    <row r="609" spans="1:8" ht="15" customHeight="1" x14ac:dyDescent="0.25">
      <c r="A609" t="str">
        <f>IFERROR(VLOOKUP(Tabela15[[#This Row],[Produto]],[1]Planilha1!$K$3:$N$300,4,0),"NÃO")</f>
        <v>NÃO</v>
      </c>
      <c r="B609" s="7">
        <v>1200</v>
      </c>
      <c r="C609" s="7" t="s">
        <v>670</v>
      </c>
      <c r="D609" s="7" t="s">
        <v>629</v>
      </c>
      <c r="E609" s="7" t="s">
        <v>630</v>
      </c>
      <c r="F609" s="16">
        <v>1.8150000000000002</v>
      </c>
      <c r="G609" s="10"/>
      <c r="H609">
        <v>1.8150000000000002</v>
      </c>
    </row>
    <row r="610" spans="1:8" ht="15" customHeight="1" x14ac:dyDescent="0.25">
      <c r="A610" t="str">
        <f>IFERROR(VLOOKUP(Tabela15[[#This Row],[Produto]],[1]Planilha1!$K$3:$N$300,4,0),"NÃO")</f>
        <v>NÃO</v>
      </c>
      <c r="B610" s="7">
        <v>1201</v>
      </c>
      <c r="C610" s="7" t="s">
        <v>671</v>
      </c>
      <c r="D610" s="7" t="s">
        <v>629</v>
      </c>
      <c r="E610" s="7" t="s">
        <v>630</v>
      </c>
      <c r="F610" s="16">
        <v>2.3466666666666671</v>
      </c>
      <c r="G610" s="10"/>
      <c r="H610">
        <v>2.3466666666666671</v>
      </c>
    </row>
    <row r="611" spans="1:8" ht="15" customHeight="1" x14ac:dyDescent="0.25">
      <c r="A611" t="str">
        <f>IFERROR(VLOOKUP(Tabela15[[#This Row],[Produto]],[1]Planilha1!$K$3:$N$300,4,0),"NÃO")</f>
        <v>NÃO</v>
      </c>
      <c r="B611" s="7">
        <v>1202</v>
      </c>
      <c r="C611" s="7" t="s">
        <v>672</v>
      </c>
      <c r="D611" s="7" t="s">
        <v>629</v>
      </c>
      <c r="E611" s="7" t="s">
        <v>630</v>
      </c>
      <c r="F611" s="16">
        <v>4.7080000000000002</v>
      </c>
      <c r="G611" s="10"/>
      <c r="H611">
        <v>4.7080000000000002</v>
      </c>
    </row>
    <row r="612" spans="1:8" ht="15" customHeight="1" x14ac:dyDescent="0.25">
      <c r="A612" t="str">
        <f>IFERROR(VLOOKUP(Tabela15[[#This Row],[Produto]],[1]Planilha1!$K$3:$N$300,4,0),"NÃO")</f>
        <v>NÃO</v>
      </c>
      <c r="B612" s="7">
        <v>1207</v>
      </c>
      <c r="C612" s="7" t="s">
        <v>673</v>
      </c>
      <c r="D612" s="7" t="s">
        <v>83</v>
      </c>
      <c r="E612" s="7" t="s">
        <v>640</v>
      </c>
      <c r="F612" s="15">
        <f>[2]!Tabela15[[#This Row],[Preço PIS/Cofins/ICMS]]*1.1</f>
        <v>0.53900000000000003</v>
      </c>
      <c r="G612" s="10"/>
    </row>
    <row r="613" spans="1:8" ht="15" customHeight="1" x14ac:dyDescent="0.25">
      <c r="A613" t="str">
        <f>IFERROR(VLOOKUP(Tabela15[[#This Row],[Produto]],[1]Planilha1!$K$3:$N$300,4,0),"NÃO")</f>
        <v>NÃO</v>
      </c>
      <c r="B613" s="7">
        <v>1208</v>
      </c>
      <c r="C613" s="7" t="s">
        <v>674</v>
      </c>
      <c r="D613" s="7" t="s">
        <v>83</v>
      </c>
      <c r="E613" s="7" t="s">
        <v>640</v>
      </c>
      <c r="F613" s="15">
        <f>[2]!Tabela15[[#This Row],[Preço PIS/Cofins/ICMS]]*1.1</f>
        <v>0.53900000000000003</v>
      </c>
      <c r="G613" s="10"/>
    </row>
    <row r="614" spans="1:8" ht="15" customHeight="1" x14ac:dyDescent="0.25">
      <c r="A614" t="str">
        <f>IFERROR(VLOOKUP(Tabela15[[#This Row],[Produto]],[1]Planilha1!$K$3:$N$300,4,0),"NÃO")</f>
        <v>NÃO</v>
      </c>
      <c r="B614" s="7">
        <v>1218</v>
      </c>
      <c r="C614" s="7" t="s">
        <v>675</v>
      </c>
      <c r="D614" s="7" t="s">
        <v>83</v>
      </c>
      <c r="E614" s="7" t="s">
        <v>640</v>
      </c>
      <c r="F614" s="15">
        <f>[2]!Tabela15[[#This Row],[Preço PIS/Cofins/ICMS]]*1.1</f>
        <v>0.97900000000000009</v>
      </c>
      <c r="G614" s="10"/>
    </row>
    <row r="615" spans="1:8" ht="15" customHeight="1" x14ac:dyDescent="0.25">
      <c r="A615" t="str">
        <f>IFERROR(VLOOKUP(Tabela15[[#This Row],[Produto]],[1]Planilha1!$K$3:$N$300,4,0),"NÃO")</f>
        <v>NÃO</v>
      </c>
      <c r="B615" s="7">
        <v>1219</v>
      </c>
      <c r="C615" s="7" t="s">
        <v>676</v>
      </c>
      <c r="D615" s="7" t="s">
        <v>83</v>
      </c>
      <c r="E615" s="7" t="s">
        <v>640</v>
      </c>
      <c r="F615" s="15">
        <f>[2]!Tabela15[[#This Row],[Preço PIS/Cofins/ICMS]]*1.1</f>
        <v>1.375</v>
      </c>
      <c r="G615" s="10"/>
    </row>
    <row r="616" spans="1:8" ht="15" customHeight="1" x14ac:dyDescent="0.25">
      <c r="A616" t="str">
        <f>IFERROR(VLOOKUP(Tabela15[[#This Row],[Produto]],[1]Planilha1!$K$3:$N$300,4,0),"NÃO")</f>
        <v>NÃO</v>
      </c>
      <c r="B616" s="7">
        <v>1220</v>
      </c>
      <c r="C616" s="7" t="s">
        <v>677</v>
      </c>
      <c r="D616" s="7" t="s">
        <v>83</v>
      </c>
      <c r="E616" s="7" t="s">
        <v>640</v>
      </c>
      <c r="F616" s="15">
        <f>[2]!Tabela15[[#This Row],[Preço PIS/Cofins/ICMS]]*1.1</f>
        <v>1.8149999999999999</v>
      </c>
      <c r="G616" s="10"/>
    </row>
    <row r="617" spans="1:8" ht="15" customHeight="1" x14ac:dyDescent="0.25">
      <c r="A617" t="str">
        <f>IFERROR(VLOOKUP(Tabela15[[#This Row],[Produto]],[1]Planilha1!$K$3:$N$300,4,0),"NÃO")</f>
        <v>NÃO</v>
      </c>
      <c r="B617" s="7">
        <v>1225</v>
      </c>
      <c r="C617" s="7" t="s">
        <v>678</v>
      </c>
      <c r="D617" s="7" t="s">
        <v>679</v>
      </c>
      <c r="E617" s="7" t="s">
        <v>680</v>
      </c>
      <c r="F617" s="15">
        <f>[2]!Tabela15[[#This Row],[Preço PIS/Cofins/ICMS]]*1.1</f>
        <v>1.3420000000000001</v>
      </c>
      <c r="G617" s="10"/>
    </row>
    <row r="618" spans="1:8" ht="15" customHeight="1" x14ac:dyDescent="0.25">
      <c r="A618" t="str">
        <f>IFERROR(VLOOKUP(Tabela15[[#This Row],[Produto]],[1]Planilha1!$K$3:$N$300,4,0),"NÃO")</f>
        <v>NÃO</v>
      </c>
      <c r="B618" s="7">
        <v>1226</v>
      </c>
      <c r="C618" s="7" t="s">
        <v>681</v>
      </c>
      <c r="D618" s="7" t="s">
        <v>679</v>
      </c>
      <c r="E618" s="7" t="s">
        <v>680</v>
      </c>
      <c r="F618" s="15">
        <f>[2]!Tabela15[[#This Row],[Preço PIS/Cofins/ICMS]]*1.1</f>
        <v>1.2649999999999999</v>
      </c>
      <c r="G618" s="10"/>
    </row>
    <row r="619" spans="1:8" ht="15" customHeight="1" x14ac:dyDescent="0.25">
      <c r="A619" t="str">
        <f>IFERROR(VLOOKUP(Tabela15[[#This Row],[Produto]],[1]Planilha1!$K$3:$N$300,4,0),"NÃO")</f>
        <v>NÃO</v>
      </c>
      <c r="B619" s="7">
        <v>1227</v>
      </c>
      <c r="C619" s="7" t="s">
        <v>682</v>
      </c>
      <c r="D619" s="7" t="s">
        <v>679</v>
      </c>
      <c r="E619" s="7" t="s">
        <v>680</v>
      </c>
      <c r="F619" s="15">
        <f>[2]!Tabela15[[#This Row],[Preço PIS/Cofins/ICMS]]*1.1</f>
        <v>1.4520000000000002</v>
      </c>
      <c r="G619" s="10"/>
    </row>
    <row r="620" spans="1:8" ht="15" customHeight="1" x14ac:dyDescent="0.25">
      <c r="A620" t="str">
        <f>IFERROR(VLOOKUP(Tabela15[[#This Row],[Produto]],[1]Planilha1!$K$3:$N$300,4,0),"NÃO")</f>
        <v>NÃO</v>
      </c>
      <c r="B620" s="7">
        <v>1228</v>
      </c>
      <c r="C620" s="7" t="s">
        <v>683</v>
      </c>
      <c r="D620" s="7" t="s">
        <v>679</v>
      </c>
      <c r="E620" s="7" t="s">
        <v>680</v>
      </c>
      <c r="F620" s="15">
        <f>[2]!Tabela15[[#This Row],[Preço PIS/Cofins/ICMS]]*1.1</f>
        <v>1.3860000000000001</v>
      </c>
      <c r="G620" s="10"/>
    </row>
    <row r="621" spans="1:8" ht="15" customHeight="1" x14ac:dyDescent="0.25">
      <c r="A621" t="str">
        <f>IFERROR(VLOOKUP(Tabela15[[#This Row],[Produto]],[1]Planilha1!$K$3:$N$300,4,0),"NÃO")</f>
        <v>NÃO</v>
      </c>
      <c r="B621" s="7">
        <v>1229</v>
      </c>
      <c r="C621" s="7" t="s">
        <v>684</v>
      </c>
      <c r="D621" s="7" t="s">
        <v>679</v>
      </c>
      <c r="E621" s="7" t="s">
        <v>680</v>
      </c>
      <c r="F621" s="15">
        <f>[2]!Tabela15[[#This Row],[Preço PIS/Cofins/ICMS]]*1.1</f>
        <v>2.75</v>
      </c>
      <c r="G621" s="10"/>
    </row>
    <row r="622" spans="1:8" ht="15" customHeight="1" x14ac:dyDescent="0.25">
      <c r="A622" t="str">
        <f>IFERROR(VLOOKUP(Tabela15[[#This Row],[Produto]],[1]Planilha1!$K$3:$N$300,4,0),"NÃO")</f>
        <v>NÃO</v>
      </c>
      <c r="B622" s="7">
        <v>1230</v>
      </c>
      <c r="C622" s="7" t="s">
        <v>685</v>
      </c>
      <c r="D622" s="7" t="s">
        <v>679</v>
      </c>
      <c r="E622" s="7" t="s">
        <v>680</v>
      </c>
      <c r="F622" s="15">
        <f>[2]!Tabela15[[#This Row],[Preço PIS/Cofins/ICMS]]*1.1</f>
        <v>0.75900000000000001</v>
      </c>
      <c r="G622" s="10"/>
    </row>
    <row r="623" spans="1:8" ht="15" customHeight="1" x14ac:dyDescent="0.25">
      <c r="A623" t="str">
        <f>IFERROR(VLOOKUP(Tabela15[[#This Row],[Produto]],[1]Planilha1!$K$3:$N$300,4,0),"NÃO")</f>
        <v>NÃO</v>
      </c>
      <c r="B623" s="7">
        <v>1231</v>
      </c>
      <c r="C623" s="7" t="s">
        <v>686</v>
      </c>
      <c r="D623" s="7" t="s">
        <v>679</v>
      </c>
      <c r="E623" s="7" t="s">
        <v>680</v>
      </c>
      <c r="F623" s="15">
        <f>[2]!Tabela15[[#This Row],[Preço PIS/Cofins/ICMS]]*1.1</f>
        <v>0.84700000000000009</v>
      </c>
      <c r="G623" s="10"/>
    </row>
    <row r="624" spans="1:8" ht="15" customHeight="1" x14ac:dyDescent="0.25">
      <c r="A624" t="str">
        <f>IFERROR(VLOOKUP(Tabela15[[#This Row],[Produto]],[1]Planilha1!$K$3:$N$300,4,0),"NÃO")</f>
        <v>NÃO</v>
      </c>
      <c r="B624" s="7">
        <v>1232</v>
      </c>
      <c r="C624" s="7" t="s">
        <v>687</v>
      </c>
      <c r="D624" s="7" t="s">
        <v>679</v>
      </c>
      <c r="E624" s="7" t="s">
        <v>680</v>
      </c>
      <c r="F624" s="15">
        <f>[2]!Tabela15[[#This Row],[Preço PIS/Cofins/ICMS]]*1.1</f>
        <v>1.54</v>
      </c>
      <c r="G624" s="10"/>
    </row>
    <row r="625" spans="1:7" ht="15" customHeight="1" x14ac:dyDescent="0.25">
      <c r="A625" t="str">
        <f>IFERROR(VLOOKUP(Tabela15[[#This Row],[Produto]],[1]Planilha1!$K$3:$N$300,4,0),"NÃO")</f>
        <v>NÃO</v>
      </c>
      <c r="B625" s="7">
        <v>1235</v>
      </c>
      <c r="C625" s="7" t="s">
        <v>688</v>
      </c>
      <c r="D625" s="7" t="s">
        <v>679</v>
      </c>
      <c r="E625" s="7" t="s">
        <v>680</v>
      </c>
      <c r="F625" s="15">
        <f>[2]!Tabela15[[#This Row],[Preço PIS/Cofins/ICMS]]*1.1</f>
        <v>1.0669999999999999</v>
      </c>
      <c r="G625" s="10"/>
    </row>
    <row r="626" spans="1:7" ht="15" customHeight="1" x14ac:dyDescent="0.25">
      <c r="A626" t="str">
        <f>IFERROR(VLOOKUP(Tabela15[[#This Row],[Produto]],[1]Planilha1!$K$3:$N$300,4,0),"NÃO")</f>
        <v>NÃO</v>
      </c>
      <c r="B626" s="7">
        <v>1236</v>
      </c>
      <c r="C626" s="7" t="s">
        <v>689</v>
      </c>
      <c r="D626" s="7" t="s">
        <v>679</v>
      </c>
      <c r="E626" s="7" t="s">
        <v>680</v>
      </c>
      <c r="F626" s="15">
        <f>[2]!Tabela15[[#This Row],[Preço PIS/Cofins/ICMS]]*1.1</f>
        <v>1.4740000000000002</v>
      </c>
      <c r="G626" s="10"/>
    </row>
    <row r="627" spans="1:7" ht="15" customHeight="1" x14ac:dyDescent="0.25">
      <c r="A627" t="str">
        <f>IFERROR(VLOOKUP(Tabela15[[#This Row],[Produto]],[1]Planilha1!$K$3:$N$300,4,0),"NÃO")</f>
        <v>NÃO</v>
      </c>
      <c r="B627" s="7">
        <v>1237</v>
      </c>
      <c r="C627" s="7" t="s">
        <v>690</v>
      </c>
      <c r="D627" s="7" t="s">
        <v>679</v>
      </c>
      <c r="E627" s="7" t="s">
        <v>680</v>
      </c>
      <c r="F627" s="15">
        <f>[2]!Tabela15[[#This Row],[Preço PIS/Cofins/ICMS]]*1.1</f>
        <v>2.0020000000000002</v>
      </c>
      <c r="G627" s="10"/>
    </row>
    <row r="628" spans="1:7" ht="15" customHeight="1" x14ac:dyDescent="0.25">
      <c r="A628" t="str">
        <f>IFERROR(VLOOKUP(Tabela15[[#This Row],[Produto]],[1]Planilha1!$K$3:$N$300,4,0),"NÃO")</f>
        <v>NÃO</v>
      </c>
      <c r="B628" s="7">
        <v>1245</v>
      </c>
      <c r="C628" s="7" t="s">
        <v>691</v>
      </c>
      <c r="D628" s="7" t="s">
        <v>83</v>
      </c>
      <c r="E628" s="7" t="s">
        <v>692</v>
      </c>
      <c r="F628" s="15">
        <f>[2]!Tabela15[[#This Row],[Preço PIS/Cofins/ICMS]]*1.1</f>
        <v>0.52800000000000002</v>
      </c>
      <c r="G628" s="10"/>
    </row>
    <row r="629" spans="1:7" ht="15" customHeight="1" x14ac:dyDescent="0.25">
      <c r="A629" t="str">
        <f>IFERROR(VLOOKUP(Tabela15[[#This Row],[Produto]],[1]Planilha1!$K$3:$N$300,4,0),"NÃO")</f>
        <v>NÃO</v>
      </c>
      <c r="B629" s="7">
        <v>1246</v>
      </c>
      <c r="C629" s="7" t="s">
        <v>693</v>
      </c>
      <c r="D629" s="7" t="s">
        <v>83</v>
      </c>
      <c r="E629" s="7" t="s">
        <v>692</v>
      </c>
      <c r="F629" s="15">
        <f>[2]!Tabela15[[#This Row],[Preço PIS/Cofins/ICMS]]*1.1</f>
        <v>0.38500000000000001</v>
      </c>
      <c r="G629" s="10"/>
    </row>
    <row r="630" spans="1:7" ht="15" customHeight="1" x14ac:dyDescent="0.25">
      <c r="A630" t="str">
        <f>IFERROR(VLOOKUP(Tabela15[[#This Row],[Produto]],[1]Planilha1!$K$3:$N$300,4,0),"NÃO")</f>
        <v>NÃO</v>
      </c>
      <c r="B630" s="7">
        <v>1247</v>
      </c>
      <c r="C630" s="7" t="s">
        <v>694</v>
      </c>
      <c r="D630" s="7" t="s">
        <v>83</v>
      </c>
      <c r="E630" s="7" t="s">
        <v>692</v>
      </c>
      <c r="F630" s="15">
        <f>[2]!Tabela15[[#This Row],[Preço PIS/Cofins/ICMS]]*1.1</f>
        <v>1.0120000000000002</v>
      </c>
      <c r="G630" s="10"/>
    </row>
    <row r="631" spans="1:7" ht="15" customHeight="1" x14ac:dyDescent="0.25">
      <c r="A631" t="str">
        <f>IFERROR(VLOOKUP(Tabela15[[#This Row],[Produto]],[1]Planilha1!$K$3:$N$300,4,0),"NÃO")</f>
        <v>NÃO</v>
      </c>
      <c r="B631" s="7">
        <v>1250</v>
      </c>
      <c r="C631" s="7" t="s">
        <v>695</v>
      </c>
      <c r="D631" s="7" t="s">
        <v>83</v>
      </c>
      <c r="E631" s="7" t="s">
        <v>692</v>
      </c>
      <c r="F631" s="15">
        <f>[2]!Tabela15[[#This Row],[Preço PIS/Cofins/ICMS]]*1.1</f>
        <v>0.51700000000000002</v>
      </c>
      <c r="G631" s="10"/>
    </row>
    <row r="632" spans="1:7" ht="15" customHeight="1" x14ac:dyDescent="0.25">
      <c r="A632" t="str">
        <f>IFERROR(VLOOKUP(Tabela15[[#This Row],[Produto]],[1]Planilha1!$K$3:$N$300,4,0),"NÃO")</f>
        <v>NÃO</v>
      </c>
      <c r="B632" s="7">
        <v>1251</v>
      </c>
      <c r="C632" s="7" t="s">
        <v>696</v>
      </c>
      <c r="D632" s="7" t="s">
        <v>83</v>
      </c>
      <c r="E632" s="7" t="s">
        <v>692</v>
      </c>
      <c r="F632" s="15">
        <f>[2]!Tabela15[[#This Row],[Preço PIS/Cofins/ICMS]]*1.1</f>
        <v>0.64900000000000002</v>
      </c>
      <c r="G632" s="10"/>
    </row>
    <row r="633" spans="1:7" ht="15" customHeight="1" x14ac:dyDescent="0.25">
      <c r="A633" t="str">
        <f>IFERROR(VLOOKUP(Tabela15[[#This Row],[Produto]],[1]Planilha1!$K$3:$N$300,4,0),"NÃO")</f>
        <v>NÃO</v>
      </c>
      <c r="B633" s="7">
        <v>1252</v>
      </c>
      <c r="C633" s="7" t="s">
        <v>697</v>
      </c>
      <c r="D633" s="7" t="s">
        <v>83</v>
      </c>
      <c r="E633" s="7" t="s">
        <v>692</v>
      </c>
      <c r="F633" s="15">
        <f>[2]!Tabela15[[#This Row],[Preço PIS/Cofins/ICMS]]*1.1</f>
        <v>0.92400000000000004</v>
      </c>
      <c r="G633" s="10"/>
    </row>
    <row r="634" spans="1:7" ht="15" customHeight="1" x14ac:dyDescent="0.25">
      <c r="A634" t="str">
        <f>IFERROR(VLOOKUP(Tabela15[[#This Row],[Produto]],[1]Planilha1!$K$3:$N$300,4,0),"NÃO")</f>
        <v>NÃO</v>
      </c>
      <c r="B634" s="7">
        <v>1254</v>
      </c>
      <c r="C634" s="7" t="s">
        <v>698</v>
      </c>
      <c r="D634" s="7" t="s">
        <v>83</v>
      </c>
      <c r="E634" s="7" t="s">
        <v>699</v>
      </c>
      <c r="F634" s="15">
        <f>[2]!Tabela15[[#This Row],[Preço PIS/Cofins/ICMS]]*1.1</f>
        <v>5.0049999999999999</v>
      </c>
      <c r="G634" s="10"/>
    </row>
    <row r="635" spans="1:7" ht="15" customHeight="1" x14ac:dyDescent="0.25">
      <c r="A635" t="str">
        <f>IFERROR(VLOOKUP(Tabela15[[#This Row],[Produto]],[1]Planilha1!$K$3:$N$300,4,0),"NÃO")</f>
        <v>NÃO</v>
      </c>
      <c r="B635" s="7">
        <v>1255</v>
      </c>
      <c r="C635" s="7" t="s">
        <v>700</v>
      </c>
      <c r="D635" s="7" t="s">
        <v>83</v>
      </c>
      <c r="E635" s="7" t="s">
        <v>699</v>
      </c>
      <c r="F635" s="15">
        <f>[2]!Tabela15[[#This Row],[Preço PIS/Cofins/ICMS]]*1.1</f>
        <v>2.5630000000000002</v>
      </c>
      <c r="G635" s="10"/>
    </row>
    <row r="636" spans="1:7" ht="15" customHeight="1" x14ac:dyDescent="0.25">
      <c r="A636" t="str">
        <f>IFERROR(VLOOKUP(Tabela15[[#This Row],[Produto]],[1]Planilha1!$K$3:$N$300,4,0),"NÃO")</f>
        <v>NÃO</v>
      </c>
      <c r="B636" s="7">
        <v>1256</v>
      </c>
      <c r="C636" s="7" t="s">
        <v>701</v>
      </c>
      <c r="D636" s="7" t="s">
        <v>83</v>
      </c>
      <c r="E636" s="7" t="s">
        <v>699</v>
      </c>
      <c r="F636" s="15">
        <f>[2]!Tabela15[[#This Row],[Preço PIS/Cofins/ICMS]]*1.1</f>
        <v>5.5</v>
      </c>
      <c r="G636" s="10"/>
    </row>
    <row r="637" spans="1:7" ht="15" customHeight="1" x14ac:dyDescent="0.25">
      <c r="A637" t="str">
        <f>IFERROR(VLOOKUP(Tabela15[[#This Row],[Produto]],[1]Planilha1!$K$3:$N$300,4,0),"NÃO")</f>
        <v>NÃO</v>
      </c>
      <c r="B637" s="7">
        <v>1257</v>
      </c>
      <c r="C637" s="7" t="s">
        <v>702</v>
      </c>
      <c r="D637" s="7" t="s">
        <v>83</v>
      </c>
      <c r="E637" s="7" t="s">
        <v>699</v>
      </c>
      <c r="F637" s="15">
        <f>[2]!Tabela15[[#This Row],[Preço PIS/Cofins/ICMS]]*1.1</f>
        <v>5.7750000000000004</v>
      </c>
      <c r="G637" s="10"/>
    </row>
    <row r="638" spans="1:7" ht="15" customHeight="1" x14ac:dyDescent="0.25">
      <c r="A638" t="str">
        <f>IFERROR(VLOOKUP(Tabela15[[#This Row],[Produto]],[1]Planilha1!$K$3:$N$300,4,0),"NÃO")</f>
        <v>NÃO</v>
      </c>
      <c r="B638" s="7">
        <v>1260</v>
      </c>
      <c r="C638" s="7" t="s">
        <v>703</v>
      </c>
      <c r="D638" s="7" t="s">
        <v>83</v>
      </c>
      <c r="E638" s="7" t="s">
        <v>699</v>
      </c>
      <c r="F638" s="15">
        <f>[2]!Tabela15[[#This Row],[Preço PIS/Cofins/ICMS]]*1.1</f>
        <v>3.6410000000000005</v>
      </c>
      <c r="G638" s="10"/>
    </row>
    <row r="639" spans="1:7" ht="15" customHeight="1" x14ac:dyDescent="0.25">
      <c r="A639" t="str">
        <f>IFERROR(VLOOKUP(Tabela15[[#This Row],[Produto]],[1]Planilha1!$K$3:$N$300,4,0),"NÃO")</f>
        <v>NÃO</v>
      </c>
      <c r="B639" s="7">
        <v>1261</v>
      </c>
      <c r="C639" s="7" t="s">
        <v>704</v>
      </c>
      <c r="D639" s="7" t="s">
        <v>83</v>
      </c>
      <c r="E639" s="7" t="s">
        <v>699</v>
      </c>
      <c r="F639" s="15">
        <f>[2]!Tabela15[[#This Row],[Preço PIS/Cofins/ICMS]]*1.1</f>
        <v>3.5640000000000005</v>
      </c>
      <c r="G639" s="10"/>
    </row>
    <row r="640" spans="1:7" ht="15" customHeight="1" x14ac:dyDescent="0.25">
      <c r="A640" t="str">
        <f>IFERROR(VLOOKUP(Tabela15[[#This Row],[Produto]],[1]Planilha1!$K$3:$N$300,4,0),"NÃO")</f>
        <v>NÃO</v>
      </c>
      <c r="B640" s="7">
        <v>1265</v>
      </c>
      <c r="C640" s="7" t="s">
        <v>705</v>
      </c>
      <c r="D640" s="7" t="s">
        <v>83</v>
      </c>
      <c r="E640" s="7" t="s">
        <v>699</v>
      </c>
      <c r="F640" s="15">
        <f>[2]!Tabela15[[#This Row],[Preço PIS/Cofins/ICMS]]*1.1</f>
        <v>0.93500000000000005</v>
      </c>
      <c r="G640" s="10"/>
    </row>
    <row r="641" spans="1:7" ht="15" customHeight="1" x14ac:dyDescent="0.25">
      <c r="A641" t="str">
        <f>IFERROR(VLOOKUP(Tabela15[[#This Row],[Produto]],[1]Planilha1!$K$3:$N$300,4,0),"NÃO")</f>
        <v>NÃO</v>
      </c>
      <c r="B641" s="7">
        <v>1266</v>
      </c>
      <c r="C641" s="7" t="s">
        <v>706</v>
      </c>
      <c r="D641" s="7" t="s">
        <v>83</v>
      </c>
      <c r="E641" s="7" t="s">
        <v>699</v>
      </c>
      <c r="F641" s="15">
        <f>[2]!Tabela15[[#This Row],[Preço PIS/Cofins/ICMS]]*1.1</f>
        <v>2.6730000000000005</v>
      </c>
      <c r="G641" s="10"/>
    </row>
    <row r="642" spans="1:7" ht="15" customHeight="1" x14ac:dyDescent="0.25">
      <c r="A642" t="str">
        <f>IFERROR(VLOOKUP(Tabela15[[#This Row],[Produto]],[1]Planilha1!$K$3:$N$300,4,0),"NÃO")</f>
        <v>NÃO</v>
      </c>
      <c r="B642" s="7">
        <v>1270</v>
      </c>
      <c r="C642" s="7" t="s">
        <v>707</v>
      </c>
      <c r="D642" s="7" t="s">
        <v>83</v>
      </c>
      <c r="E642" s="7" t="s">
        <v>708</v>
      </c>
      <c r="F642" s="15">
        <f>[2]!Tabela15[[#This Row],[Preço PIS/Cofins/ICMS]]*1.1</f>
        <v>14.179000000000002</v>
      </c>
      <c r="G642" s="10"/>
    </row>
    <row r="643" spans="1:7" ht="15" customHeight="1" x14ac:dyDescent="0.25">
      <c r="A643" t="str">
        <f>IFERROR(VLOOKUP(Tabela15[[#This Row],[Produto]],[1]Planilha1!$K$3:$N$300,4,0),"NÃO")</f>
        <v>NÃO</v>
      </c>
      <c r="B643" s="7">
        <v>1271</v>
      </c>
      <c r="C643" s="7" t="s">
        <v>709</v>
      </c>
      <c r="D643" s="7" t="s">
        <v>83</v>
      </c>
      <c r="E643" s="7" t="s">
        <v>708</v>
      </c>
      <c r="F643" s="15">
        <f>[2]!Tabela15[[#This Row],[Preço PIS/Cofins/ICMS]]*1.1</f>
        <v>25.872</v>
      </c>
      <c r="G643" s="10"/>
    </row>
    <row r="644" spans="1:7" ht="15" customHeight="1" x14ac:dyDescent="0.25">
      <c r="A644" t="str">
        <f>IFERROR(VLOOKUP(Tabela15[[#This Row],[Produto]],[1]Planilha1!$K$3:$N$300,4,0),"NÃO")</f>
        <v>NÃO</v>
      </c>
      <c r="B644" s="7">
        <v>1272</v>
      </c>
      <c r="C644" s="7" t="s">
        <v>710</v>
      </c>
      <c r="D644" s="7" t="s">
        <v>83</v>
      </c>
      <c r="E644" s="7" t="s">
        <v>708</v>
      </c>
      <c r="F644" s="15">
        <f>[2]!Tabela15[[#This Row],[Preço PIS/Cofins/ICMS]]*1.1</f>
        <v>37.356000000000002</v>
      </c>
      <c r="G644" s="10"/>
    </row>
    <row r="645" spans="1:7" ht="15" customHeight="1" x14ac:dyDescent="0.25">
      <c r="A645" t="str">
        <f>IFERROR(VLOOKUP(Tabela15[[#This Row],[Produto]],[1]Planilha1!$K$3:$N$300,4,0),"NÃO")</f>
        <v>NÃO</v>
      </c>
      <c r="B645" s="7">
        <v>1273</v>
      </c>
      <c r="C645" s="7" t="s">
        <v>711</v>
      </c>
      <c r="D645" s="7" t="s">
        <v>83</v>
      </c>
      <c r="E645" s="7" t="s">
        <v>708</v>
      </c>
      <c r="F645" s="15">
        <f>[2]!Tabela15[[#This Row],[Preço PIS/Cofins/ICMS]]*1.1</f>
        <v>42.009</v>
      </c>
      <c r="G645" s="10"/>
    </row>
    <row r="646" spans="1:7" ht="15" customHeight="1" x14ac:dyDescent="0.25">
      <c r="A646" t="str">
        <f>IFERROR(VLOOKUP(Tabela15[[#This Row],[Produto]],[1]Planilha1!$K$3:$N$300,4,0),"NÃO")</f>
        <v>NÃO</v>
      </c>
      <c r="B646" s="7">
        <v>1274</v>
      </c>
      <c r="C646" s="7" t="s">
        <v>712</v>
      </c>
      <c r="D646" s="7" t="s">
        <v>83</v>
      </c>
      <c r="E646" s="7" t="s">
        <v>708</v>
      </c>
      <c r="F646" s="15">
        <f>[2]!Tabela15[[#This Row],[Preço PIS/Cofins/ICMS]]*1.1</f>
        <v>69.278000000000006</v>
      </c>
      <c r="G646" s="10"/>
    </row>
    <row r="647" spans="1:7" ht="15" customHeight="1" x14ac:dyDescent="0.25">
      <c r="A647" t="str">
        <f>IFERROR(VLOOKUP(Tabela15[[#This Row],[Produto]],[1]Planilha1!$K$3:$N$300,4,0),"NÃO")</f>
        <v>NÃO</v>
      </c>
      <c r="B647" s="7">
        <v>1275</v>
      </c>
      <c r="C647" s="7" t="s">
        <v>713</v>
      </c>
      <c r="D647" s="7" t="s">
        <v>83</v>
      </c>
      <c r="E647" s="7" t="s">
        <v>708</v>
      </c>
      <c r="F647" s="15">
        <f>[2]!Tabela15[[#This Row],[Preço PIS/Cofins/ICMS]]*1.1</f>
        <v>111.70500000000001</v>
      </c>
      <c r="G647" s="10"/>
    </row>
    <row r="648" spans="1:7" ht="15" customHeight="1" x14ac:dyDescent="0.25">
      <c r="A648" t="str">
        <f>IFERROR(VLOOKUP(Tabela15[[#This Row],[Produto]],[1]Planilha1!$K$3:$N$300,4,0),"NÃO")</f>
        <v>NÃO</v>
      </c>
      <c r="B648" s="7">
        <v>1277</v>
      </c>
      <c r="C648" s="7" t="s">
        <v>714</v>
      </c>
      <c r="D648" s="7" t="s">
        <v>83</v>
      </c>
      <c r="E648" s="7" t="s">
        <v>708</v>
      </c>
      <c r="F648" s="15">
        <f>[2]!Tabela15[[#This Row],[Preço PIS/Cofins/ICMS]]*1.1</f>
        <v>65.031999999999996</v>
      </c>
      <c r="G648" s="10"/>
    </row>
    <row r="649" spans="1:7" ht="15" customHeight="1" x14ac:dyDescent="0.25">
      <c r="A649" t="str">
        <f>IFERROR(VLOOKUP(Tabela15[[#This Row],[Produto]],[1]Planilha1!$K$3:$N$300,4,0),"NÃO")</f>
        <v>NÃO</v>
      </c>
      <c r="B649" s="7">
        <v>1278</v>
      </c>
      <c r="C649" s="7" t="s">
        <v>715</v>
      </c>
      <c r="D649" s="7" t="s">
        <v>83</v>
      </c>
      <c r="E649" s="7" t="s">
        <v>708</v>
      </c>
      <c r="F649" s="15">
        <f>[2]!Tabela15[[#This Row],[Preço PIS/Cofins/ICMS]]*1.1</f>
        <v>72.512000000000015</v>
      </c>
      <c r="G649" s="10"/>
    </row>
    <row r="650" spans="1:7" ht="15" customHeight="1" x14ac:dyDescent="0.25">
      <c r="A650" t="str">
        <f>IFERROR(VLOOKUP(Tabela15[[#This Row],[Produto]],[1]Planilha1!$K$3:$N$300,4,0),"NÃO")</f>
        <v>NÃO</v>
      </c>
      <c r="B650" s="7">
        <v>1279</v>
      </c>
      <c r="C650" s="7" t="s">
        <v>716</v>
      </c>
      <c r="D650" s="7" t="s">
        <v>83</v>
      </c>
      <c r="E650" s="7" t="s">
        <v>708</v>
      </c>
      <c r="F650" s="15">
        <f>[2]!Tabela15[[#This Row],[Preço PIS/Cofins/ICMS]]*1.1</f>
        <v>115.89600000000002</v>
      </c>
      <c r="G650" s="10"/>
    </row>
    <row r="651" spans="1:7" ht="15" customHeight="1" x14ac:dyDescent="0.25">
      <c r="A651" t="str">
        <f>IFERROR(VLOOKUP(Tabela15[[#This Row],[Produto]],[1]Planilha1!$K$3:$N$300,4,0),"NÃO")</f>
        <v>NÃO</v>
      </c>
      <c r="B651" s="7">
        <v>1280</v>
      </c>
      <c r="C651" s="7" t="s">
        <v>717</v>
      </c>
      <c r="D651" s="7" t="s">
        <v>83</v>
      </c>
      <c r="E651" s="7" t="s">
        <v>708</v>
      </c>
      <c r="F651" s="15">
        <f>[2]!Tabela15[[#This Row],[Preço PIS/Cofins/ICMS]]*1.1</f>
        <v>141.71300000000002</v>
      </c>
      <c r="G651" s="10"/>
    </row>
    <row r="652" spans="1:7" ht="15" customHeight="1" x14ac:dyDescent="0.25">
      <c r="A652" t="str">
        <f>IFERROR(VLOOKUP(Tabela15[[#This Row],[Produto]],[1]Planilha1!$K$3:$N$300,4,0),"NÃO")</f>
        <v>NÃO</v>
      </c>
      <c r="B652" s="7">
        <v>1281</v>
      </c>
      <c r="C652" s="7" t="s">
        <v>718</v>
      </c>
      <c r="D652" s="7" t="s">
        <v>83</v>
      </c>
      <c r="E652" s="7" t="s">
        <v>708</v>
      </c>
      <c r="F652" s="15">
        <f>[2]!Tabela15[[#This Row],[Preço PIS/Cofins/ICMS]]*1.1</f>
        <v>234.91600000000003</v>
      </c>
      <c r="G652" s="10"/>
    </row>
    <row r="653" spans="1:7" ht="15" customHeight="1" x14ac:dyDescent="0.25">
      <c r="A653" t="str">
        <f>IFERROR(VLOOKUP(Tabela15[[#This Row],[Produto]],[1]Planilha1!$K$3:$N$300,4,0),"NÃO")</f>
        <v>NÃO</v>
      </c>
      <c r="B653" s="7">
        <v>1283</v>
      </c>
      <c r="C653" s="7" t="s">
        <v>719</v>
      </c>
      <c r="D653" s="7" t="s">
        <v>83</v>
      </c>
      <c r="E653" s="7" t="s">
        <v>708</v>
      </c>
      <c r="F653" s="15">
        <f>[2]!Tabela15[[#This Row],[Preço PIS/Cofins/ICMS]]*1.1</f>
        <v>25.553000000000001</v>
      </c>
      <c r="G653" s="10"/>
    </row>
    <row r="654" spans="1:7" ht="15" customHeight="1" x14ac:dyDescent="0.25">
      <c r="A654" t="str">
        <f>IFERROR(VLOOKUP(Tabela15[[#This Row],[Produto]],[1]Planilha1!$K$3:$N$300,4,0),"NÃO")</f>
        <v>NÃO</v>
      </c>
      <c r="B654" s="7">
        <v>1284</v>
      </c>
      <c r="C654" s="7" t="s">
        <v>720</v>
      </c>
      <c r="D654" s="7" t="s">
        <v>83</v>
      </c>
      <c r="E654" s="7" t="s">
        <v>708</v>
      </c>
      <c r="F654" s="15">
        <f>[2]!Tabela15[[#This Row],[Preço PIS/Cofins/ICMS]]*1.1</f>
        <v>53.383000000000003</v>
      </c>
      <c r="G654" s="10"/>
    </row>
    <row r="655" spans="1:7" ht="15" customHeight="1" x14ac:dyDescent="0.25">
      <c r="A655" t="str">
        <f>IFERROR(VLOOKUP(Tabela15[[#This Row],[Produto]],[1]Planilha1!$K$3:$N$300,4,0),"NÃO")</f>
        <v>NÃO</v>
      </c>
      <c r="B655" s="7">
        <v>1285</v>
      </c>
      <c r="C655" s="7" t="s">
        <v>721</v>
      </c>
      <c r="D655" s="7" t="s">
        <v>83</v>
      </c>
      <c r="E655" s="7" t="s">
        <v>708</v>
      </c>
      <c r="F655" s="15">
        <f>[2]!Tabela15[[#This Row],[Preço PIS/Cofins/ICMS]]*1.1</f>
        <v>71.301999999999992</v>
      </c>
      <c r="G655" s="10"/>
    </row>
    <row r="656" spans="1:7" ht="15" customHeight="1" x14ac:dyDescent="0.25">
      <c r="A656" t="str">
        <f>IFERROR(VLOOKUP(Tabela15[[#This Row],[Produto]],[1]Planilha1!$K$3:$N$300,4,0),"NÃO")</f>
        <v>NÃO</v>
      </c>
      <c r="B656" s="7">
        <v>1286</v>
      </c>
      <c r="C656" s="7" t="s">
        <v>722</v>
      </c>
      <c r="D656" s="7" t="s">
        <v>83</v>
      </c>
      <c r="E656" s="7" t="s">
        <v>708</v>
      </c>
      <c r="F656" s="15">
        <f>[2]!Tabela15[[#This Row],[Preço PIS/Cofins/ICMS]]*1.1</f>
        <v>91.168000000000006</v>
      </c>
      <c r="G656" s="10"/>
    </row>
    <row r="657" spans="1:8" ht="15" customHeight="1" x14ac:dyDescent="0.25">
      <c r="A657" t="str">
        <f>IFERROR(VLOOKUP(Tabela15[[#This Row],[Produto]],[1]Planilha1!$K$3:$N$300,4,0),"NÃO")</f>
        <v>NÃO</v>
      </c>
      <c r="B657" s="7">
        <v>1287</v>
      </c>
      <c r="C657" s="7" t="s">
        <v>723</v>
      </c>
      <c r="D657" s="7" t="s">
        <v>83</v>
      </c>
      <c r="E657" s="7" t="s">
        <v>708</v>
      </c>
      <c r="F657" s="15">
        <f>[2]!Tabela15[[#This Row],[Preço PIS/Cofins/ICMS]]*1.1</f>
        <v>133.48500000000001</v>
      </c>
      <c r="G657" s="10"/>
    </row>
    <row r="658" spans="1:8" ht="15" customHeight="1" x14ac:dyDescent="0.25">
      <c r="A658" t="str">
        <f>IFERROR(VLOOKUP(Tabela15[[#This Row],[Produto]],[1]Planilha1!$K$3:$N$300,4,0),"NÃO")</f>
        <v>NÃO</v>
      </c>
      <c r="B658" s="7">
        <v>1288</v>
      </c>
      <c r="C658" s="7" t="s">
        <v>724</v>
      </c>
      <c r="D658" s="7" t="s">
        <v>83</v>
      </c>
      <c r="E658" s="7" t="s">
        <v>708</v>
      </c>
      <c r="F658" s="15">
        <f>[2]!Tabela15[[#This Row],[Preço PIS/Cofins/ICMS]]*1.1</f>
        <v>229.19600000000003</v>
      </c>
      <c r="G658" s="10"/>
    </row>
    <row r="659" spans="1:8" ht="15" customHeight="1" x14ac:dyDescent="0.25">
      <c r="A659" t="str">
        <f>IFERROR(VLOOKUP(Tabela15[[#This Row],[Produto]],[1]Planilha1!$K$3:$N$300,4,0),"NÃO")</f>
        <v>NÃO</v>
      </c>
      <c r="B659" s="7">
        <v>1290</v>
      </c>
      <c r="C659" s="7" t="s">
        <v>725</v>
      </c>
      <c r="D659" s="7" t="s">
        <v>83</v>
      </c>
      <c r="E659" s="7" t="s">
        <v>708</v>
      </c>
      <c r="F659" s="15">
        <f>[2]!Tabela15[[#This Row],[Preço PIS/Cofins/ICMS]]*1.1</f>
        <v>87.065000000000012</v>
      </c>
      <c r="G659" s="10"/>
    </row>
    <row r="660" spans="1:8" ht="15" customHeight="1" x14ac:dyDescent="0.25">
      <c r="A660" t="str">
        <f>IFERROR(VLOOKUP(Tabela15[[#This Row],[Produto]],[1]Planilha1!$K$3:$N$300,4,0),"NÃO")</f>
        <v>NÃO</v>
      </c>
      <c r="B660" s="7">
        <v>1291</v>
      </c>
      <c r="C660" s="7" t="s">
        <v>726</v>
      </c>
      <c r="D660" s="7" t="s">
        <v>83</v>
      </c>
      <c r="E660" s="7" t="s">
        <v>708</v>
      </c>
      <c r="F660" s="15">
        <f>[2]!Tabela15[[#This Row],[Preço PIS/Cofins/ICMS]]*1.1</f>
        <v>130.03100000000001</v>
      </c>
      <c r="G660" s="10"/>
    </row>
    <row r="661" spans="1:8" ht="15" customHeight="1" x14ac:dyDescent="0.25">
      <c r="A661" t="str">
        <f>IFERROR(VLOOKUP(Tabela15[[#This Row],[Produto]],[1]Planilha1!$K$3:$N$300,4,0),"NÃO")</f>
        <v>NÃO</v>
      </c>
      <c r="B661" s="7">
        <v>1292</v>
      </c>
      <c r="C661" s="7" t="s">
        <v>727</v>
      </c>
      <c r="D661" s="7" t="s">
        <v>83</v>
      </c>
      <c r="E661" s="7" t="s">
        <v>708</v>
      </c>
      <c r="F661" s="15">
        <f>[2]!Tabela15[[#This Row],[Preço PIS/Cofins/ICMS]]*1.1</f>
        <v>148.66500000000002</v>
      </c>
      <c r="G661" s="10"/>
    </row>
    <row r="662" spans="1:8" ht="15" customHeight="1" x14ac:dyDescent="0.25">
      <c r="A662" t="str">
        <f>IFERROR(VLOOKUP(Tabela15[[#This Row],[Produto]],[1]Planilha1!$K$3:$N$300,4,0),"NÃO")</f>
        <v>NÃO</v>
      </c>
      <c r="B662" s="7">
        <v>1293</v>
      </c>
      <c r="C662" s="7" t="s">
        <v>728</v>
      </c>
      <c r="D662" s="7" t="s">
        <v>83</v>
      </c>
      <c r="E662" s="7" t="s">
        <v>708</v>
      </c>
      <c r="F662" s="15">
        <f>[2]!Tabela15[[#This Row],[Preço PIS/Cofins/ICMS]]*1.1</f>
        <v>217.62400000000002</v>
      </c>
      <c r="G662" s="10"/>
    </row>
    <row r="663" spans="1:8" ht="15" customHeight="1" x14ac:dyDescent="0.25">
      <c r="A663" t="str">
        <f>IFERROR(VLOOKUP(Tabela15[[#This Row],[Produto]],[1]Planilha1!$K$3:$N$300,4,0),"NÃO")</f>
        <v>NÃO</v>
      </c>
      <c r="B663" s="7">
        <v>1294</v>
      </c>
      <c r="C663" s="7" t="s">
        <v>729</v>
      </c>
      <c r="D663" s="7" t="s">
        <v>83</v>
      </c>
      <c r="E663" s="7" t="s">
        <v>708</v>
      </c>
      <c r="F663" s="15">
        <f>[2]!Tabela15[[#This Row],[Preço PIS/Cofins/ICMS]]*1.1</f>
        <v>361.26200000000006</v>
      </c>
      <c r="G663" s="10"/>
    </row>
    <row r="664" spans="1:8" ht="15" customHeight="1" x14ac:dyDescent="0.25">
      <c r="A664" t="str">
        <f>IFERROR(VLOOKUP(Tabela15[[#This Row],[Produto]],[1]Planilha1!$K$3:$N$300,4,0),"NÃO")</f>
        <v>NÃO</v>
      </c>
      <c r="B664" s="7">
        <v>1296</v>
      </c>
      <c r="C664" s="7" t="s">
        <v>730</v>
      </c>
      <c r="D664" s="7" t="s">
        <v>83</v>
      </c>
      <c r="E664" s="7" t="s">
        <v>708</v>
      </c>
      <c r="F664" s="15">
        <f>[2]!Tabela15[[#This Row],[Preço PIS/Cofins/ICMS]]*1.1</f>
        <v>42.361000000000004</v>
      </c>
      <c r="G664" s="10"/>
    </row>
    <row r="665" spans="1:8" ht="15" customHeight="1" x14ac:dyDescent="0.25">
      <c r="A665" t="str">
        <f>IFERROR(VLOOKUP(Tabela15[[#This Row],[Produto]],[1]Planilha1!$K$3:$N$300,4,0),"NÃO")</f>
        <v>NÃO</v>
      </c>
      <c r="B665" s="7">
        <v>1298</v>
      </c>
      <c r="C665" s="7" t="s">
        <v>731</v>
      </c>
      <c r="D665" s="7" t="s">
        <v>83</v>
      </c>
      <c r="E665" s="7" t="s">
        <v>732</v>
      </c>
      <c r="F665" s="15">
        <f>[2]!Tabela15[[#This Row],[Preço PIS/Cofins/ICMS]]*1.1</f>
        <v>457.29200000000009</v>
      </c>
      <c r="G665" s="10"/>
    </row>
    <row r="666" spans="1:8" ht="15" customHeight="1" x14ac:dyDescent="0.25">
      <c r="A666" t="str">
        <f>IFERROR(VLOOKUP(Tabela15[[#This Row],[Produto]],[1]Planilha1!$K$3:$N$300,4,0),"NÃO")</f>
        <v>NÃO</v>
      </c>
      <c r="B666" s="7">
        <v>1299</v>
      </c>
      <c r="C666" s="7" t="s">
        <v>733</v>
      </c>
      <c r="D666" s="7" t="s">
        <v>83</v>
      </c>
      <c r="E666" s="7" t="s">
        <v>732</v>
      </c>
      <c r="F666" s="15">
        <f>[2]!Tabela15[[#This Row],[Preço PIS/Cofins/ICMS]]*1.1</f>
        <v>50.094000000000001</v>
      </c>
      <c r="G666" s="10"/>
    </row>
    <row r="667" spans="1:8" ht="15" customHeight="1" x14ac:dyDescent="0.25">
      <c r="A667">
        <f>IFERROR(VLOOKUP(Tabela15[[#This Row],[Produto]],[1]Planilha1!$K$3:$N$300,4,0),"NÃO")</f>
        <v>0.04</v>
      </c>
      <c r="B667" s="7">
        <v>1300</v>
      </c>
      <c r="C667" s="7" t="s">
        <v>734</v>
      </c>
      <c r="D667" s="7" t="s">
        <v>164</v>
      </c>
      <c r="E667" s="7" t="s">
        <v>735</v>
      </c>
      <c r="F667" s="15">
        <f>[2]!Tabela15[[#This Row],[Preço PIS/Cofins/ICMS]]*1.1</f>
        <v>1.6610000000000003</v>
      </c>
      <c r="G667" s="10"/>
      <c r="H667" s="11"/>
    </row>
    <row r="668" spans="1:8" ht="15" customHeight="1" x14ac:dyDescent="0.25">
      <c r="A668">
        <f>IFERROR(VLOOKUP(Tabela15[[#This Row],[Produto]],[1]Planilha1!$K$3:$N$300,4,0),"NÃO")</f>
        <v>0.04</v>
      </c>
      <c r="B668" s="7">
        <v>1301</v>
      </c>
      <c r="C668" s="7" t="s">
        <v>736</v>
      </c>
      <c r="D668" s="7" t="s">
        <v>164</v>
      </c>
      <c r="E668" s="7" t="s">
        <v>735</v>
      </c>
      <c r="F668" s="15">
        <f>[2]!Tabela15[[#This Row],[Preço PIS/Cofins/ICMS]]*1.1</f>
        <v>2.8490000000000002</v>
      </c>
      <c r="G668" s="10"/>
    </row>
    <row r="669" spans="1:8" ht="15" customHeight="1" x14ac:dyDescent="0.25">
      <c r="A669">
        <f>IFERROR(VLOOKUP(Tabela15[[#This Row],[Produto]],[1]Planilha1!$K$3:$N$300,4,0),"NÃO")</f>
        <v>0.04</v>
      </c>
      <c r="B669" s="7">
        <v>1302</v>
      </c>
      <c r="C669" s="7" t="s">
        <v>737</v>
      </c>
      <c r="D669" s="7" t="s">
        <v>164</v>
      </c>
      <c r="E669" s="7" t="s">
        <v>735</v>
      </c>
      <c r="F669" s="15">
        <f>[2]!Tabela15[[#This Row],[Preço PIS/Cofins/ICMS]]*1.1</f>
        <v>4.6090000000000009</v>
      </c>
      <c r="G669" s="10"/>
    </row>
    <row r="670" spans="1:8" ht="15" customHeight="1" x14ac:dyDescent="0.25">
      <c r="A670" t="str">
        <f>IFERROR(VLOOKUP(Tabela15[[#This Row],[Produto]],[1]Planilha1!$K$3:$N$300,4,0),"NÃO")</f>
        <v>NÃO</v>
      </c>
      <c r="B670" s="7">
        <v>1303</v>
      </c>
      <c r="C670" s="7" t="s">
        <v>738</v>
      </c>
      <c r="D670" s="7" t="s">
        <v>83</v>
      </c>
      <c r="E670" s="7" t="s">
        <v>708</v>
      </c>
      <c r="F670" s="15">
        <f>[2]!Tabela15[[#This Row],[Preço PIS/Cofins/ICMS]]*1.1</f>
        <v>32.329000000000001</v>
      </c>
      <c r="G670" s="10"/>
    </row>
    <row r="671" spans="1:8" ht="15" customHeight="1" x14ac:dyDescent="0.25">
      <c r="A671" t="str">
        <f>IFERROR(VLOOKUP(Tabela15[[#This Row],[Produto]],[1]Planilha1!$K$3:$N$300,4,0),"NÃO")</f>
        <v>NÃO</v>
      </c>
      <c r="B671" s="7">
        <v>1304</v>
      </c>
      <c r="C671" s="7" t="s">
        <v>739</v>
      </c>
      <c r="D671" s="7" t="s">
        <v>83</v>
      </c>
      <c r="E671" s="7" t="s">
        <v>708</v>
      </c>
      <c r="F671" s="15">
        <f>[2]!Tabela15[[#This Row],[Preço PIS/Cofins/ICMS]]*1.1</f>
        <v>46.299000000000007</v>
      </c>
      <c r="G671" s="10"/>
    </row>
    <row r="672" spans="1:8" ht="15" customHeight="1" x14ac:dyDescent="0.25">
      <c r="A672" t="str">
        <f>IFERROR(VLOOKUP(Tabela15[[#This Row],[Produto]],[1]Planilha1!$K$3:$N$300,4,0),"NÃO")</f>
        <v>NÃO</v>
      </c>
      <c r="B672" s="7">
        <v>1305</v>
      </c>
      <c r="C672" s="7" t="s">
        <v>740</v>
      </c>
      <c r="D672" s="7" t="s">
        <v>83</v>
      </c>
      <c r="E672" s="7" t="s">
        <v>708</v>
      </c>
      <c r="F672" s="15">
        <f>[2]!Tabela15[[#This Row],[Preço PIS/Cofins/ICMS]]*1.1</f>
        <v>62.238000000000007</v>
      </c>
      <c r="G672" s="10"/>
    </row>
    <row r="673" spans="1:7" ht="15" customHeight="1" x14ac:dyDescent="0.25">
      <c r="A673" t="str">
        <f>IFERROR(VLOOKUP(Tabela15[[#This Row],[Produto]],[1]Planilha1!$K$3:$N$300,4,0),"NÃO")</f>
        <v>NÃO</v>
      </c>
      <c r="B673" s="7">
        <v>1306</v>
      </c>
      <c r="C673" s="7" t="s">
        <v>741</v>
      </c>
      <c r="D673" s="7" t="s">
        <v>83</v>
      </c>
      <c r="E673" s="7" t="s">
        <v>708</v>
      </c>
      <c r="F673" s="15">
        <f>[2]!Tabela15[[#This Row],[Preço PIS/Cofins/ICMS]]*1.1</f>
        <v>104.742</v>
      </c>
      <c r="G673" s="10"/>
    </row>
    <row r="674" spans="1:7" ht="15" customHeight="1" x14ac:dyDescent="0.25">
      <c r="A674" t="str">
        <f>IFERROR(VLOOKUP(Tabela15[[#This Row],[Produto]],[1]Planilha1!$K$3:$N$300,4,0),"NÃO")</f>
        <v>NÃO</v>
      </c>
      <c r="B674" s="7">
        <v>1307</v>
      </c>
      <c r="C674" s="7" t="s">
        <v>742</v>
      </c>
      <c r="D674" s="7" t="s">
        <v>83</v>
      </c>
      <c r="E674" s="7" t="s">
        <v>708</v>
      </c>
      <c r="F674" s="15">
        <f>[2]!Tabela15[[#This Row],[Preço PIS/Cofins/ICMS]]*1.1</f>
        <v>151.81100000000001</v>
      </c>
      <c r="G674" s="10"/>
    </row>
    <row r="675" spans="1:7" ht="15" customHeight="1" x14ac:dyDescent="0.25">
      <c r="A675" t="str">
        <f>IFERROR(VLOOKUP(Tabela15[[#This Row],[Produto]],[1]Planilha1!$K$3:$N$300,4,0),"NÃO")</f>
        <v>NÃO</v>
      </c>
      <c r="B675" s="7">
        <v>1308</v>
      </c>
      <c r="C675" s="7" t="s">
        <v>743</v>
      </c>
      <c r="D675" s="7" t="s">
        <v>83</v>
      </c>
      <c r="E675" s="7" t="s">
        <v>744</v>
      </c>
      <c r="F675" s="15">
        <f>[2]!Tabela15[[#This Row],[Preço PIS/Cofins/ICMS]]*1.1</f>
        <v>33.825000000000003</v>
      </c>
      <c r="G675" s="10"/>
    </row>
    <row r="676" spans="1:7" ht="15" customHeight="1" x14ac:dyDescent="0.25">
      <c r="A676" t="str">
        <f>IFERROR(VLOOKUP(Tabela15[[#This Row],[Produto]],[1]Planilha1!$K$3:$N$300,4,0),"NÃO")</f>
        <v>NÃO</v>
      </c>
      <c r="B676" s="7">
        <v>1309</v>
      </c>
      <c r="C676" s="7" t="s">
        <v>745</v>
      </c>
      <c r="D676" s="7" t="s">
        <v>83</v>
      </c>
      <c r="E676" s="7" t="s">
        <v>744</v>
      </c>
      <c r="F676" s="15">
        <f>[2]!Tabela15[[#This Row],[Preço PIS/Cofins/ICMS]]*1.1</f>
        <v>78.155000000000001</v>
      </c>
      <c r="G676" s="10"/>
    </row>
    <row r="677" spans="1:7" ht="15" customHeight="1" x14ac:dyDescent="0.25">
      <c r="A677" t="str">
        <f>IFERROR(VLOOKUP(Tabela15[[#This Row],[Produto]],[1]Planilha1!$K$3:$N$300,4,0),"NÃO")</f>
        <v>NÃO</v>
      </c>
      <c r="B677" s="7">
        <v>1310</v>
      </c>
      <c r="C677" s="7" t="s">
        <v>746</v>
      </c>
      <c r="D677" s="7" t="s">
        <v>83</v>
      </c>
      <c r="E677" s="7" t="s">
        <v>744</v>
      </c>
      <c r="F677" s="15">
        <f>[2]!Tabela15[[#This Row],[Preço PIS/Cofins/ICMS]]*1.1</f>
        <v>142.71400000000003</v>
      </c>
      <c r="G677" s="10"/>
    </row>
    <row r="678" spans="1:7" ht="15" customHeight="1" x14ac:dyDescent="0.25">
      <c r="A678" t="str">
        <f>IFERROR(VLOOKUP(Tabela15[[#This Row],[Produto]],[1]Planilha1!$K$3:$N$300,4,0),"NÃO")</f>
        <v>NÃO</v>
      </c>
      <c r="B678" s="7">
        <v>1311</v>
      </c>
      <c r="C678" s="7" t="s">
        <v>747</v>
      </c>
      <c r="D678" s="7" t="s">
        <v>83</v>
      </c>
      <c r="E678" s="7" t="s">
        <v>744</v>
      </c>
      <c r="F678" s="15">
        <f>[2]!Tabela15[[#This Row],[Preço PIS/Cofins/ICMS]]*1.1</f>
        <v>88.066000000000017</v>
      </c>
      <c r="G678" s="10"/>
    </row>
    <row r="679" spans="1:7" ht="15" customHeight="1" x14ac:dyDescent="0.25">
      <c r="A679" t="str">
        <f>IFERROR(VLOOKUP(Tabela15[[#This Row],[Produto]],[1]Planilha1!$K$3:$N$300,4,0),"NÃO")</f>
        <v>NÃO</v>
      </c>
      <c r="B679" s="7">
        <v>1312</v>
      </c>
      <c r="C679" s="7" t="s">
        <v>748</v>
      </c>
      <c r="D679" s="7" t="s">
        <v>83</v>
      </c>
      <c r="E679" s="7" t="s">
        <v>744</v>
      </c>
      <c r="F679" s="15">
        <f>[2]!Tabela15[[#This Row],[Preço PIS/Cofins/ICMS]]*1.1</f>
        <v>190.86100000000002</v>
      </c>
      <c r="G679" s="10"/>
    </row>
    <row r="680" spans="1:7" ht="15" customHeight="1" x14ac:dyDescent="0.25">
      <c r="A680" t="str">
        <f>IFERROR(VLOOKUP(Tabela15[[#This Row],[Produto]],[1]Planilha1!$K$3:$N$300,4,0),"NÃO")</f>
        <v>NÃO</v>
      </c>
      <c r="B680" s="7">
        <v>1313</v>
      </c>
      <c r="C680" s="7" t="s">
        <v>749</v>
      </c>
      <c r="D680" s="7" t="s">
        <v>83</v>
      </c>
      <c r="E680" s="7" t="s">
        <v>744</v>
      </c>
      <c r="F680" s="15">
        <f>[2]!Tabela15[[#This Row],[Preço PIS/Cofins/ICMS]]*1.1</f>
        <v>273.33900000000006</v>
      </c>
      <c r="G680" s="10"/>
    </row>
    <row r="681" spans="1:7" ht="15" customHeight="1" x14ac:dyDescent="0.25">
      <c r="A681" t="str">
        <f>IFERROR(VLOOKUP(Tabela15[[#This Row],[Produto]],[1]Planilha1!$K$3:$N$300,4,0),"NÃO")</f>
        <v>NÃO</v>
      </c>
      <c r="B681" s="7">
        <v>1314</v>
      </c>
      <c r="C681" s="7" t="s">
        <v>750</v>
      </c>
      <c r="D681" s="7" t="s">
        <v>83</v>
      </c>
      <c r="E681" s="7" t="s">
        <v>732</v>
      </c>
      <c r="F681" s="15">
        <f>[2]!Tabela15[[#This Row],[Preço PIS/Cofins/ICMS]]*1.1</f>
        <v>20.548000000000002</v>
      </c>
      <c r="G681" s="10"/>
    </row>
    <row r="682" spans="1:7" ht="15" customHeight="1" x14ac:dyDescent="0.25">
      <c r="A682" t="str">
        <f>IFERROR(VLOOKUP(Tabela15[[#This Row],[Produto]],[1]Planilha1!$K$3:$N$300,4,0),"NÃO")</f>
        <v>NÃO</v>
      </c>
      <c r="B682" s="7">
        <v>1315</v>
      </c>
      <c r="C682" s="7" t="s">
        <v>751</v>
      </c>
      <c r="D682" s="7" t="s">
        <v>83</v>
      </c>
      <c r="E682" s="7" t="s">
        <v>732</v>
      </c>
      <c r="F682" s="15">
        <f>[2]!Tabela15[[#This Row],[Preço PIS/Cofins/ICMS]]*1.1</f>
        <v>28.391000000000002</v>
      </c>
      <c r="G682" s="10"/>
    </row>
    <row r="683" spans="1:7" ht="15" customHeight="1" x14ac:dyDescent="0.25">
      <c r="A683" t="str">
        <f>IFERROR(VLOOKUP(Tabela15[[#This Row],[Produto]],[1]Planilha1!$K$3:$N$300,4,0),"NÃO")</f>
        <v>NÃO</v>
      </c>
      <c r="B683" s="7">
        <v>1316</v>
      </c>
      <c r="C683" s="7" t="s">
        <v>752</v>
      </c>
      <c r="D683" s="7" t="s">
        <v>83</v>
      </c>
      <c r="E683" s="7" t="s">
        <v>732</v>
      </c>
      <c r="F683" s="15">
        <f>[2]!Tabela15[[#This Row],[Preço PIS/Cofins/ICMS]]*1.1</f>
        <v>58.355000000000004</v>
      </c>
      <c r="G683" s="10"/>
    </row>
    <row r="684" spans="1:7" ht="15" customHeight="1" x14ac:dyDescent="0.25">
      <c r="A684" t="str">
        <f>IFERROR(VLOOKUP(Tabela15[[#This Row],[Produto]],[1]Planilha1!$K$3:$N$300,4,0),"NÃO")</f>
        <v>NÃO</v>
      </c>
      <c r="B684" s="7">
        <v>1317</v>
      </c>
      <c r="C684" s="7" t="s">
        <v>753</v>
      </c>
      <c r="D684" s="7" t="s">
        <v>83</v>
      </c>
      <c r="E684" s="7" t="s">
        <v>732</v>
      </c>
      <c r="F684" s="15">
        <f>[2]!Tabela15[[#This Row],[Preço PIS/Cofins/ICMS]]*1.1</f>
        <v>110.88000000000001</v>
      </c>
      <c r="G684" s="10"/>
    </row>
    <row r="685" spans="1:7" ht="15" customHeight="1" x14ac:dyDescent="0.25">
      <c r="A685" t="str">
        <f>IFERROR(VLOOKUP(Tabela15[[#This Row],[Produto]],[1]Planilha1!$K$3:$N$300,4,0),"NÃO")</f>
        <v>NÃO</v>
      </c>
      <c r="B685" s="7">
        <v>1318</v>
      </c>
      <c r="C685" s="7" t="s">
        <v>754</v>
      </c>
      <c r="D685" s="7" t="s">
        <v>83</v>
      </c>
      <c r="E685" s="7" t="s">
        <v>732</v>
      </c>
      <c r="F685" s="15">
        <f>[2]!Tabela15[[#This Row],[Preço PIS/Cofins/ICMS]]*1.1</f>
        <v>36.168000000000006</v>
      </c>
      <c r="G685" s="10"/>
    </row>
    <row r="686" spans="1:7" ht="15" customHeight="1" x14ac:dyDescent="0.25">
      <c r="A686" t="str">
        <f>IFERROR(VLOOKUP(Tabela15[[#This Row],[Produto]],[1]Planilha1!$K$3:$N$300,4,0),"NÃO")</f>
        <v>NÃO</v>
      </c>
      <c r="B686" s="7">
        <v>1319</v>
      </c>
      <c r="C686" s="7" t="s">
        <v>755</v>
      </c>
      <c r="D686" s="7" t="s">
        <v>83</v>
      </c>
      <c r="E686" s="7" t="s">
        <v>732</v>
      </c>
      <c r="F686" s="15">
        <f>[2]!Tabela15[[#This Row],[Preço PIS/Cofins/ICMS]]*1.1</f>
        <v>58.311</v>
      </c>
      <c r="G686" s="10"/>
    </row>
    <row r="687" spans="1:7" ht="15" customHeight="1" x14ac:dyDescent="0.25">
      <c r="A687" t="str">
        <f>IFERROR(VLOOKUP(Tabela15[[#This Row],[Produto]],[1]Planilha1!$K$3:$N$300,4,0),"NÃO")</f>
        <v>NÃO</v>
      </c>
      <c r="B687" s="7">
        <v>1320</v>
      </c>
      <c r="C687" s="7" t="s">
        <v>756</v>
      </c>
      <c r="D687" s="7" t="s">
        <v>83</v>
      </c>
      <c r="E687" s="7" t="s">
        <v>732</v>
      </c>
      <c r="F687" s="15">
        <f>[2]!Tabela15[[#This Row],[Preço PIS/Cofins/ICMS]]*1.1</f>
        <v>123.64000000000001</v>
      </c>
      <c r="G687" s="10"/>
    </row>
    <row r="688" spans="1:7" ht="15" customHeight="1" x14ac:dyDescent="0.25">
      <c r="A688" t="str">
        <f>IFERROR(VLOOKUP(Tabela15[[#This Row],[Produto]],[1]Planilha1!$K$3:$N$300,4,0),"NÃO")</f>
        <v>NÃO</v>
      </c>
      <c r="B688" s="7">
        <v>1321</v>
      </c>
      <c r="C688" s="7" t="s">
        <v>757</v>
      </c>
      <c r="D688" s="7" t="s">
        <v>83</v>
      </c>
      <c r="E688" s="7" t="s">
        <v>732</v>
      </c>
      <c r="F688" s="15">
        <f>[2]!Tabela15[[#This Row],[Preço PIS/Cofins/ICMS]]*1.1</f>
        <v>203.69800000000004</v>
      </c>
      <c r="G688" s="10"/>
    </row>
    <row r="689" spans="1:7" ht="15" customHeight="1" x14ac:dyDescent="0.25">
      <c r="A689" t="str">
        <f>IFERROR(VLOOKUP(Tabela15[[#This Row],[Produto]],[1]Planilha1!$K$3:$N$300,4,0),"NÃO")</f>
        <v>NÃO</v>
      </c>
      <c r="B689" s="7">
        <v>1324</v>
      </c>
      <c r="C689" s="7" t="s">
        <v>758</v>
      </c>
      <c r="D689" s="7" t="s">
        <v>83</v>
      </c>
      <c r="E689" s="7" t="s">
        <v>759</v>
      </c>
      <c r="F689" s="15">
        <f>[2]!Tabela15[[#This Row],[Preço PIS/Cofins/ICMS]]*1.1</f>
        <v>16.071000000000002</v>
      </c>
      <c r="G689" s="10"/>
    </row>
    <row r="690" spans="1:7" ht="15" customHeight="1" x14ac:dyDescent="0.25">
      <c r="A690" t="str">
        <f>IFERROR(VLOOKUP(Tabela15[[#This Row],[Produto]],[1]Planilha1!$K$3:$N$300,4,0),"NÃO")</f>
        <v>NÃO</v>
      </c>
      <c r="B690" s="7">
        <v>1325</v>
      </c>
      <c r="C690" s="7" t="s">
        <v>760</v>
      </c>
      <c r="D690" s="7" t="s">
        <v>83</v>
      </c>
      <c r="E690" s="7" t="s">
        <v>759</v>
      </c>
      <c r="F690" s="15">
        <f>[2]!Tabela15[[#This Row],[Preço PIS/Cofins/ICMS]]*1.1</f>
        <v>16.566000000000003</v>
      </c>
      <c r="G690" s="10"/>
    </row>
    <row r="691" spans="1:7" ht="15" customHeight="1" x14ac:dyDescent="0.25">
      <c r="A691" t="str">
        <f>IFERROR(VLOOKUP(Tabela15[[#This Row],[Produto]],[1]Planilha1!$K$3:$N$300,4,0),"NÃO")</f>
        <v>NÃO</v>
      </c>
      <c r="B691" s="7">
        <v>1326</v>
      </c>
      <c r="C691" s="7" t="s">
        <v>761</v>
      </c>
      <c r="D691" s="7" t="s">
        <v>83</v>
      </c>
      <c r="E691" s="7" t="s">
        <v>759</v>
      </c>
      <c r="F691" s="15">
        <f>[2]!Tabela15[[#This Row],[Preço PIS/Cofins/ICMS]]*1.1</f>
        <v>17.215000000000003</v>
      </c>
      <c r="G691" s="10"/>
    </row>
    <row r="692" spans="1:7" ht="15" customHeight="1" x14ac:dyDescent="0.25">
      <c r="A692" t="str">
        <f>IFERROR(VLOOKUP(Tabela15[[#This Row],[Produto]],[1]Planilha1!$K$3:$N$300,4,0),"NÃO")</f>
        <v>NÃO</v>
      </c>
      <c r="B692" s="7">
        <v>1327</v>
      </c>
      <c r="C692" s="7" t="s">
        <v>762</v>
      </c>
      <c r="D692" s="7" t="s">
        <v>83</v>
      </c>
      <c r="E692" s="7" t="s">
        <v>759</v>
      </c>
      <c r="F692" s="15">
        <f>[2]!Tabela15[[#This Row],[Preço PIS/Cofins/ICMS]]*1.1</f>
        <v>17.446000000000002</v>
      </c>
      <c r="G692" s="10"/>
    </row>
    <row r="693" spans="1:7" ht="15" customHeight="1" x14ac:dyDescent="0.25">
      <c r="A693" t="str">
        <f>IFERROR(VLOOKUP(Tabela15[[#This Row],[Produto]],[1]Planilha1!$K$3:$N$300,4,0),"NÃO")</f>
        <v>NÃO</v>
      </c>
      <c r="B693" s="7">
        <v>1328</v>
      </c>
      <c r="C693" s="7" t="s">
        <v>763</v>
      </c>
      <c r="D693" s="7" t="s">
        <v>83</v>
      </c>
      <c r="E693" s="7" t="s">
        <v>708</v>
      </c>
      <c r="F693" s="15">
        <f>[2]!Tabela15[[#This Row],[Preço PIS/Cofins/ICMS]]*1.1</f>
        <v>14.718000000000002</v>
      </c>
      <c r="G693" s="10"/>
    </row>
    <row r="694" spans="1:7" ht="15" customHeight="1" x14ac:dyDescent="0.25">
      <c r="A694" t="str">
        <f>IFERROR(VLOOKUP(Tabela15[[#This Row],[Produto]],[1]Planilha1!$K$3:$N$300,4,0),"NÃO")</f>
        <v>NÃO</v>
      </c>
      <c r="B694" s="7">
        <v>1329</v>
      </c>
      <c r="C694" s="7" t="s">
        <v>764</v>
      </c>
      <c r="D694" s="7" t="s">
        <v>83</v>
      </c>
      <c r="E694" s="7" t="s">
        <v>708</v>
      </c>
      <c r="F694" s="15">
        <f>[2]!Tabela15[[#This Row],[Preço PIS/Cofins/ICMS]]*1.1</f>
        <v>24.387000000000004</v>
      </c>
      <c r="G694" s="10"/>
    </row>
    <row r="695" spans="1:7" ht="15" customHeight="1" x14ac:dyDescent="0.25">
      <c r="A695" t="str">
        <f>IFERROR(VLOOKUP(Tabela15[[#This Row],[Produto]],[1]Planilha1!$K$3:$N$300,4,0),"NÃO")</f>
        <v>NÃO</v>
      </c>
      <c r="B695" s="7">
        <v>1330</v>
      </c>
      <c r="C695" s="7" t="s">
        <v>765</v>
      </c>
      <c r="D695" s="7" t="s">
        <v>83</v>
      </c>
      <c r="E695" s="7" t="s">
        <v>708</v>
      </c>
      <c r="F695" s="15">
        <f>[2]!Tabela15[[#This Row],[Preço PIS/Cofins/ICMS]]*1.1</f>
        <v>29.535000000000004</v>
      </c>
      <c r="G695" s="10"/>
    </row>
    <row r="696" spans="1:7" ht="15" customHeight="1" x14ac:dyDescent="0.25">
      <c r="A696" t="str">
        <f>IFERROR(VLOOKUP(Tabela15[[#This Row],[Produto]],[1]Planilha1!$K$3:$N$300,4,0),"NÃO")</f>
        <v>NÃO</v>
      </c>
      <c r="B696" s="7">
        <v>1331</v>
      </c>
      <c r="C696" s="7" t="s">
        <v>766</v>
      </c>
      <c r="D696" s="7" t="s">
        <v>83</v>
      </c>
      <c r="E696" s="7" t="s">
        <v>708</v>
      </c>
      <c r="F696" s="15">
        <f>[2]!Tabela15[[#This Row],[Preço PIS/Cofins/ICMS]]*1.1</f>
        <v>40.700000000000003</v>
      </c>
      <c r="G696" s="10"/>
    </row>
    <row r="697" spans="1:7" ht="15" customHeight="1" x14ac:dyDescent="0.25">
      <c r="A697" t="str">
        <f>IFERROR(VLOOKUP(Tabela15[[#This Row],[Produto]],[1]Planilha1!$K$3:$N$300,4,0),"NÃO")</f>
        <v>NÃO</v>
      </c>
      <c r="B697" s="7">
        <v>1332</v>
      </c>
      <c r="C697" s="7" t="s">
        <v>767</v>
      </c>
      <c r="D697" s="7" t="s">
        <v>83</v>
      </c>
      <c r="E697" s="7" t="s">
        <v>708</v>
      </c>
      <c r="F697" s="15">
        <f>[2]!Tabela15[[#This Row],[Preço PIS/Cofins/ICMS]]*1.1</f>
        <v>54.78</v>
      </c>
      <c r="G697" s="10"/>
    </row>
    <row r="698" spans="1:7" ht="15" customHeight="1" x14ac:dyDescent="0.25">
      <c r="A698" t="str">
        <f>IFERROR(VLOOKUP(Tabela15[[#This Row],[Produto]],[1]Planilha1!$K$3:$N$300,4,0),"NÃO")</f>
        <v>NÃO</v>
      </c>
      <c r="B698" s="7">
        <v>1333</v>
      </c>
      <c r="C698" s="7" t="s">
        <v>768</v>
      </c>
      <c r="D698" s="7" t="s">
        <v>83</v>
      </c>
      <c r="E698" s="7" t="s">
        <v>708</v>
      </c>
      <c r="F698" s="15">
        <f>[2]!Tabela15[[#This Row],[Preço PIS/Cofins/ICMS]]*1.1</f>
        <v>91.135000000000005</v>
      </c>
      <c r="G698" s="10"/>
    </row>
    <row r="699" spans="1:7" ht="15" customHeight="1" x14ac:dyDescent="0.25">
      <c r="A699" t="str">
        <f>IFERROR(VLOOKUP(Tabela15[[#This Row],[Produto]],[1]Planilha1!$K$3:$N$300,4,0),"NÃO")</f>
        <v>NÃO</v>
      </c>
      <c r="B699" s="7">
        <v>1334</v>
      </c>
      <c r="C699" s="7" t="s">
        <v>769</v>
      </c>
      <c r="D699" s="7" t="s">
        <v>31</v>
      </c>
      <c r="E699" s="7" t="s">
        <v>770</v>
      </c>
      <c r="F699" s="15">
        <f>[2]!Tabela15[[#This Row],[Preço PIS/Cofins/ICMS]]*1.1</f>
        <v>0.45100000000000001</v>
      </c>
      <c r="G699" s="10"/>
    </row>
    <row r="700" spans="1:7" ht="15" customHeight="1" x14ac:dyDescent="0.25">
      <c r="A700" t="str">
        <f>IFERROR(VLOOKUP(Tabela15[[#This Row],[Produto]],[1]Planilha1!$K$3:$N$300,4,0),"NÃO")</f>
        <v>NÃO</v>
      </c>
      <c r="B700" s="7">
        <v>1335</v>
      </c>
      <c r="C700" s="7" t="s">
        <v>771</v>
      </c>
      <c r="D700" s="7" t="s">
        <v>31</v>
      </c>
      <c r="E700" s="7" t="s">
        <v>770</v>
      </c>
      <c r="F700" s="15">
        <f>[2]!Tabela15[[#This Row],[Preço PIS/Cofins/ICMS]]*1.1</f>
        <v>1.4520000000000002</v>
      </c>
      <c r="G700" s="10"/>
    </row>
    <row r="701" spans="1:7" ht="15" customHeight="1" x14ac:dyDescent="0.25">
      <c r="A701" t="str">
        <f>IFERROR(VLOOKUP(Tabela15[[#This Row],[Produto]],[1]Planilha1!$K$3:$N$300,4,0),"NÃO")</f>
        <v>NÃO</v>
      </c>
      <c r="B701" s="7">
        <v>1336</v>
      </c>
      <c r="C701" s="7" t="s">
        <v>772</v>
      </c>
      <c r="D701" s="7" t="s">
        <v>31</v>
      </c>
      <c r="E701" s="7" t="s">
        <v>770</v>
      </c>
      <c r="F701" s="15">
        <f>[2]!Tabela15[[#This Row],[Preço PIS/Cofins/ICMS]]*1.1</f>
        <v>1.353</v>
      </c>
      <c r="G701" s="10"/>
    </row>
    <row r="702" spans="1:7" ht="15" customHeight="1" x14ac:dyDescent="0.25">
      <c r="A702" t="str">
        <f>IFERROR(VLOOKUP(Tabela15[[#This Row],[Produto]],[1]Planilha1!$K$3:$N$300,4,0),"NÃO")</f>
        <v>NÃO</v>
      </c>
      <c r="B702" s="7">
        <v>1337</v>
      </c>
      <c r="C702" s="7" t="s">
        <v>773</v>
      </c>
      <c r="D702" s="7" t="s">
        <v>31</v>
      </c>
      <c r="E702" s="7" t="s">
        <v>770</v>
      </c>
      <c r="F702" s="15">
        <f>[2]!Tabela15[[#This Row],[Preço PIS/Cofins/ICMS]]*1.1</f>
        <v>0.627</v>
      </c>
      <c r="G702" s="10"/>
    </row>
    <row r="703" spans="1:7" ht="15" customHeight="1" x14ac:dyDescent="0.25">
      <c r="A703" t="str">
        <f>IFERROR(VLOOKUP(Tabela15[[#This Row],[Produto]],[1]Planilha1!$K$3:$N$300,4,0),"NÃO")</f>
        <v>NÃO</v>
      </c>
      <c r="B703" s="7">
        <v>1338</v>
      </c>
      <c r="C703" s="7" t="s">
        <v>774</v>
      </c>
      <c r="D703" s="7" t="s">
        <v>31</v>
      </c>
      <c r="E703" s="7" t="s">
        <v>770</v>
      </c>
      <c r="F703" s="15">
        <f>[2]!Tabela15[[#This Row],[Preço PIS/Cofins/ICMS]]*1.1</f>
        <v>0.75900000000000001</v>
      </c>
      <c r="G703" s="10"/>
    </row>
    <row r="704" spans="1:7" ht="15" customHeight="1" x14ac:dyDescent="0.25">
      <c r="A704" t="str">
        <f>IFERROR(VLOOKUP(Tabela15[[#This Row],[Produto]],[1]Planilha1!$K$3:$N$300,4,0),"NÃO")</f>
        <v>NÃO</v>
      </c>
      <c r="B704" s="7">
        <v>1339</v>
      </c>
      <c r="C704" s="7" t="s">
        <v>775</v>
      </c>
      <c r="D704" s="7" t="s">
        <v>31</v>
      </c>
      <c r="E704" s="7" t="s">
        <v>770</v>
      </c>
      <c r="F704" s="15">
        <f>[2]!Tabela15[[#This Row],[Preço PIS/Cofins/ICMS]]*1.1</f>
        <v>1.2649999999999999</v>
      </c>
      <c r="G704" s="10"/>
    </row>
    <row r="705" spans="1:7" ht="15" customHeight="1" x14ac:dyDescent="0.25">
      <c r="A705" t="str">
        <f>IFERROR(VLOOKUP(Tabela15[[#This Row],[Produto]],[1]Planilha1!$K$3:$N$300,4,0),"NÃO")</f>
        <v>NÃO</v>
      </c>
      <c r="B705" s="7">
        <v>1340</v>
      </c>
      <c r="C705" s="7" t="s">
        <v>776</v>
      </c>
      <c r="D705" s="7" t="s">
        <v>31</v>
      </c>
      <c r="E705" s="7" t="s">
        <v>770</v>
      </c>
      <c r="F705" s="15">
        <f>[2]!Tabela15[[#This Row],[Preço PIS/Cofins/ICMS]]*1.1</f>
        <v>7.7000000000000011</v>
      </c>
      <c r="G705" s="10"/>
    </row>
    <row r="706" spans="1:7" ht="15" customHeight="1" x14ac:dyDescent="0.25">
      <c r="A706" t="str">
        <f>IFERROR(VLOOKUP(Tabela15[[#This Row],[Produto]],[1]Planilha1!$K$3:$N$300,4,0),"NÃO")</f>
        <v>NÃO</v>
      </c>
      <c r="B706" s="7">
        <v>1341</v>
      </c>
      <c r="C706" s="7" t="s">
        <v>777</v>
      </c>
      <c r="D706" s="7" t="s">
        <v>31</v>
      </c>
      <c r="E706" s="7" t="s">
        <v>770</v>
      </c>
      <c r="F706" s="15">
        <f>[2]!Tabela15[[#This Row],[Preço PIS/Cofins/ICMS]]*1.1</f>
        <v>7.9200000000000008</v>
      </c>
      <c r="G706" s="10"/>
    </row>
    <row r="707" spans="1:7" ht="15" customHeight="1" x14ac:dyDescent="0.25">
      <c r="A707" t="str">
        <f>IFERROR(VLOOKUP(Tabela15[[#This Row],[Produto]],[1]Planilha1!$K$3:$N$300,4,0),"NÃO")</f>
        <v>NÃO</v>
      </c>
      <c r="B707" s="7">
        <v>1342</v>
      </c>
      <c r="C707" s="7" t="s">
        <v>778</v>
      </c>
      <c r="D707" s="7" t="s">
        <v>31</v>
      </c>
      <c r="E707" s="7" t="s">
        <v>770</v>
      </c>
      <c r="F707" s="15">
        <f>[2]!Tabela15[[#This Row],[Preço PIS/Cofins/ICMS]]*1.1</f>
        <v>11.286000000000001</v>
      </c>
      <c r="G707" s="10"/>
    </row>
    <row r="708" spans="1:7" ht="15" customHeight="1" x14ac:dyDescent="0.25">
      <c r="A708" t="str">
        <f>IFERROR(VLOOKUP(Tabela15[[#This Row],[Produto]],[1]Planilha1!$K$3:$N$300,4,0),"NÃO")</f>
        <v>NÃO</v>
      </c>
      <c r="B708" s="7">
        <v>1343</v>
      </c>
      <c r="C708" s="7" t="s">
        <v>779</v>
      </c>
      <c r="D708" s="7" t="s">
        <v>31</v>
      </c>
      <c r="E708" s="7" t="s">
        <v>770</v>
      </c>
      <c r="F708" s="15">
        <f>[2]!Tabela15[[#This Row],[Preço PIS/Cofins/ICMS]]*1.1</f>
        <v>17.071999999999999</v>
      </c>
      <c r="G708" s="10"/>
    </row>
    <row r="709" spans="1:7" ht="15" customHeight="1" x14ac:dyDescent="0.25">
      <c r="A709" t="str">
        <f>IFERROR(VLOOKUP(Tabela15[[#This Row],[Produto]],[1]Planilha1!$K$3:$N$300,4,0),"NÃO")</f>
        <v>NÃO</v>
      </c>
      <c r="B709" s="7">
        <v>1344</v>
      </c>
      <c r="C709" s="7" t="s">
        <v>780</v>
      </c>
      <c r="D709" s="7" t="s">
        <v>31</v>
      </c>
      <c r="E709" s="7" t="s">
        <v>770</v>
      </c>
      <c r="F709" s="15">
        <f>[2]!Tabela15[[#This Row],[Preço PIS/Cofins/ICMS]]*1.1</f>
        <v>1.4740000000000002</v>
      </c>
      <c r="G709" s="10"/>
    </row>
    <row r="710" spans="1:7" ht="15" customHeight="1" x14ac:dyDescent="0.25">
      <c r="A710" t="str">
        <f>IFERROR(VLOOKUP(Tabela15[[#This Row],[Produto]],[1]Planilha1!$K$3:$N$300,4,0),"NÃO")</f>
        <v>NÃO</v>
      </c>
      <c r="B710" s="7">
        <v>1345</v>
      </c>
      <c r="C710" s="7" t="s">
        <v>781</v>
      </c>
      <c r="D710" s="7" t="s">
        <v>31</v>
      </c>
      <c r="E710" s="7" t="s">
        <v>770</v>
      </c>
      <c r="F710" s="15">
        <f>[2]!Tabela15[[#This Row],[Preço PIS/Cofins/ICMS]]*1.1</f>
        <v>2.0570000000000004</v>
      </c>
      <c r="G710" s="10"/>
    </row>
    <row r="711" spans="1:7" ht="15" customHeight="1" x14ac:dyDescent="0.25">
      <c r="A711" t="str">
        <f>IFERROR(VLOOKUP(Tabela15[[#This Row],[Produto]],[1]Planilha1!$K$3:$N$300,4,0),"NÃO")</f>
        <v>NÃO</v>
      </c>
      <c r="B711" s="7">
        <v>1346</v>
      </c>
      <c r="C711" s="7" t="s">
        <v>782</v>
      </c>
      <c r="D711" s="7" t="s">
        <v>31</v>
      </c>
      <c r="E711" s="7" t="s">
        <v>770</v>
      </c>
      <c r="F711" s="15">
        <f>[2]!Tabela15[[#This Row],[Preço PIS/Cofins/ICMS]]*1.1</f>
        <v>2.8600000000000003</v>
      </c>
      <c r="G711" s="10"/>
    </row>
    <row r="712" spans="1:7" ht="15" customHeight="1" x14ac:dyDescent="0.25">
      <c r="A712" t="str">
        <f>IFERROR(VLOOKUP(Tabela15[[#This Row],[Produto]],[1]Planilha1!$K$3:$N$300,4,0),"NÃO")</f>
        <v>NÃO</v>
      </c>
      <c r="B712" s="7">
        <v>1347</v>
      </c>
      <c r="C712" s="7" t="s">
        <v>783</v>
      </c>
      <c r="D712" s="7" t="s">
        <v>31</v>
      </c>
      <c r="E712" s="7" t="s">
        <v>770</v>
      </c>
      <c r="F712" s="15">
        <f>[2]!Tabela15[[#This Row],[Preço PIS/Cofins/ICMS]]*1.1</f>
        <v>1.1770000000000003</v>
      </c>
      <c r="G712" s="10"/>
    </row>
    <row r="713" spans="1:7" ht="15" customHeight="1" x14ac:dyDescent="0.25">
      <c r="A713" t="str">
        <f>IFERROR(VLOOKUP(Tabela15[[#This Row],[Produto]],[1]Planilha1!$K$3:$N$300,4,0),"NÃO")</f>
        <v>NÃO</v>
      </c>
      <c r="B713" s="7">
        <v>1348</v>
      </c>
      <c r="C713" s="7" t="s">
        <v>784</v>
      </c>
      <c r="D713" s="7" t="s">
        <v>31</v>
      </c>
      <c r="E713" s="7" t="s">
        <v>770</v>
      </c>
      <c r="F713" s="15">
        <f>[2]!Tabela15[[#This Row],[Preço PIS/Cofins/ICMS]]*1.1</f>
        <v>1.6830000000000003</v>
      </c>
      <c r="G713" s="10"/>
    </row>
    <row r="714" spans="1:7" ht="15" customHeight="1" x14ac:dyDescent="0.25">
      <c r="A714" t="str">
        <f>IFERROR(VLOOKUP(Tabela15[[#This Row],[Produto]],[1]Planilha1!$K$3:$N$300,4,0),"NÃO")</f>
        <v>NÃO</v>
      </c>
      <c r="B714" s="7">
        <v>1349</v>
      </c>
      <c r="C714" s="7" t="s">
        <v>785</v>
      </c>
      <c r="D714" s="7" t="s">
        <v>31</v>
      </c>
      <c r="E714" s="7" t="s">
        <v>770</v>
      </c>
      <c r="F714" s="15">
        <f>[2]!Tabela15[[#This Row],[Preço PIS/Cofins/ICMS]]*1.1</f>
        <v>3.1570000000000005</v>
      </c>
      <c r="G714" s="10"/>
    </row>
    <row r="715" spans="1:7" ht="15" customHeight="1" x14ac:dyDescent="0.25">
      <c r="A715" t="str">
        <f>IFERROR(VLOOKUP(Tabela15[[#This Row],[Produto]],[1]Planilha1!$K$3:$N$300,4,0),"NÃO")</f>
        <v>NÃO</v>
      </c>
      <c r="B715" s="7">
        <v>1350</v>
      </c>
      <c r="C715" s="7" t="s">
        <v>786</v>
      </c>
      <c r="D715" s="7" t="s">
        <v>31</v>
      </c>
      <c r="E715" s="7" t="s">
        <v>770</v>
      </c>
      <c r="F715" s="15">
        <f>[2]!Tabela15[[#This Row],[Preço PIS/Cofins/ICMS]]*1.1</f>
        <v>5.9840000000000009</v>
      </c>
      <c r="G715" s="10"/>
    </row>
    <row r="716" spans="1:7" ht="15" customHeight="1" x14ac:dyDescent="0.25">
      <c r="A716" t="str">
        <f>IFERROR(VLOOKUP(Tabela15[[#This Row],[Produto]],[1]Planilha1!$K$3:$N$300,4,0),"NÃO")</f>
        <v>NÃO</v>
      </c>
      <c r="B716" s="7">
        <v>1351</v>
      </c>
      <c r="C716" s="7" t="s">
        <v>787</v>
      </c>
      <c r="D716" s="7" t="s">
        <v>31</v>
      </c>
      <c r="E716" s="7" t="s">
        <v>770</v>
      </c>
      <c r="F716" s="15">
        <f>[2]!Tabela15[[#This Row],[Preço PIS/Cofins/ICMS]]*1.1</f>
        <v>7.2490000000000006</v>
      </c>
      <c r="G716" s="10"/>
    </row>
    <row r="717" spans="1:7" ht="15" customHeight="1" x14ac:dyDescent="0.25">
      <c r="A717" t="str">
        <f>IFERROR(VLOOKUP(Tabela15[[#This Row],[Produto]],[1]Planilha1!$K$3:$N$300,4,0),"NÃO")</f>
        <v>NÃO</v>
      </c>
      <c r="B717" s="7">
        <v>1352</v>
      </c>
      <c r="C717" s="7" t="s">
        <v>788</v>
      </c>
      <c r="D717" s="7" t="s">
        <v>31</v>
      </c>
      <c r="E717" s="7" t="s">
        <v>770</v>
      </c>
      <c r="F717" s="15">
        <f>[2]!Tabela15[[#This Row],[Preço PIS/Cofins/ICMS]]*1.1</f>
        <v>9.5370000000000008</v>
      </c>
      <c r="G717" s="10"/>
    </row>
    <row r="718" spans="1:7" ht="15" customHeight="1" x14ac:dyDescent="0.25">
      <c r="A718" t="str">
        <f>IFERROR(VLOOKUP(Tabela15[[#This Row],[Produto]],[1]Planilha1!$K$3:$N$300,4,0),"NÃO")</f>
        <v>NÃO</v>
      </c>
      <c r="B718" s="7">
        <v>1353</v>
      </c>
      <c r="C718" s="7" t="s">
        <v>789</v>
      </c>
      <c r="D718" s="7" t="s">
        <v>31</v>
      </c>
      <c r="E718" s="7" t="s">
        <v>770</v>
      </c>
      <c r="F718" s="15">
        <f>[2]!Tabela15[[#This Row],[Preço PIS/Cofins/ICMS]]*1.1</f>
        <v>14.377000000000001</v>
      </c>
      <c r="G718" s="10"/>
    </row>
    <row r="719" spans="1:7" ht="15" customHeight="1" x14ac:dyDescent="0.25">
      <c r="A719">
        <f>IFERROR(VLOOKUP(Tabela15[[#This Row],[Produto]],[1]Planilha1!$K$3:$N$300,4,0),"NÃO")</f>
        <v>0.04</v>
      </c>
      <c r="B719" s="7">
        <v>1354</v>
      </c>
      <c r="C719" s="7" t="s">
        <v>790</v>
      </c>
      <c r="D719" s="7" t="s">
        <v>31</v>
      </c>
      <c r="E719" s="7" t="s">
        <v>770</v>
      </c>
      <c r="F719" s="15">
        <f>[2]!Tabela15[[#This Row],[Preço PIS/Cofins/ICMS]]*1.1</f>
        <v>2.4200000000000004</v>
      </c>
      <c r="G719" s="10"/>
    </row>
    <row r="720" spans="1:7" ht="15" customHeight="1" x14ac:dyDescent="0.25">
      <c r="A720">
        <f>IFERROR(VLOOKUP(Tabela15[[#This Row],[Produto]],[1]Planilha1!$K$3:$N$300,4,0),"NÃO")</f>
        <v>0.04</v>
      </c>
      <c r="B720" s="7">
        <v>1355</v>
      </c>
      <c r="C720" s="7" t="s">
        <v>791</v>
      </c>
      <c r="D720" s="7" t="s">
        <v>31</v>
      </c>
      <c r="E720" s="7" t="s">
        <v>770</v>
      </c>
      <c r="F720" s="15">
        <f>[2]!Tabela15[[#This Row],[Preço PIS/Cofins/ICMS]]*1.1</f>
        <v>3.3000000000000003</v>
      </c>
      <c r="G720" s="10"/>
    </row>
    <row r="721" spans="1:7" ht="15" customHeight="1" x14ac:dyDescent="0.25">
      <c r="A721">
        <f>IFERROR(VLOOKUP(Tabela15[[#This Row],[Produto]],[1]Planilha1!$K$3:$N$300,4,0),"NÃO")</f>
        <v>0.04</v>
      </c>
      <c r="B721" s="7">
        <v>1356</v>
      </c>
      <c r="C721" s="7" t="s">
        <v>792</v>
      </c>
      <c r="D721" s="7" t="s">
        <v>31</v>
      </c>
      <c r="E721" s="7" t="s">
        <v>770</v>
      </c>
      <c r="F721" s="15">
        <f>[2]!Tabela15[[#This Row],[Preço PIS/Cofins/ICMS]]*1.1</f>
        <v>5.0599999999999996</v>
      </c>
      <c r="G721" s="10"/>
    </row>
    <row r="722" spans="1:7" ht="15" customHeight="1" x14ac:dyDescent="0.25">
      <c r="A722" t="str">
        <f>IFERROR(VLOOKUP(Tabela15[[#This Row],[Produto]],[1]Planilha1!$K$3:$N$300,4,0),"NÃO")</f>
        <v>NÃO</v>
      </c>
      <c r="B722" s="7">
        <v>1357</v>
      </c>
      <c r="C722" s="7" t="s">
        <v>793</v>
      </c>
      <c r="D722" s="7" t="s">
        <v>31</v>
      </c>
      <c r="E722" s="7" t="s">
        <v>770</v>
      </c>
      <c r="F722" s="15">
        <f>[2]!Tabela15[[#This Row],[Preço PIS/Cofins/ICMS]]*1.1</f>
        <v>0.74800000000000011</v>
      </c>
      <c r="G722" s="10"/>
    </row>
    <row r="723" spans="1:7" ht="15" customHeight="1" x14ac:dyDescent="0.25">
      <c r="A723" t="str">
        <f>IFERROR(VLOOKUP(Tabela15[[#This Row],[Produto]],[1]Planilha1!$K$3:$N$300,4,0),"NÃO")</f>
        <v>NÃO</v>
      </c>
      <c r="B723" s="7">
        <v>1358</v>
      </c>
      <c r="C723" s="7" t="s">
        <v>794</v>
      </c>
      <c r="D723" s="7" t="s">
        <v>31</v>
      </c>
      <c r="E723" s="7" t="s">
        <v>770</v>
      </c>
      <c r="F723" s="15">
        <f>[2]!Tabela15[[#This Row],[Preço PIS/Cofins/ICMS]]*1.1</f>
        <v>0.88000000000000012</v>
      </c>
      <c r="G723" s="10"/>
    </row>
    <row r="724" spans="1:7" ht="15" customHeight="1" x14ac:dyDescent="0.25">
      <c r="A724" t="str">
        <f>IFERROR(VLOOKUP(Tabela15[[#This Row],[Produto]],[1]Planilha1!$K$3:$N$300,4,0),"NÃO")</f>
        <v>NÃO</v>
      </c>
      <c r="B724" s="7">
        <v>1359</v>
      </c>
      <c r="C724" s="7" t="s">
        <v>795</v>
      </c>
      <c r="D724" s="7" t="s">
        <v>31</v>
      </c>
      <c r="E724" s="7" t="s">
        <v>770</v>
      </c>
      <c r="F724" s="15">
        <f>[2]!Tabela15[[#This Row],[Preço PIS/Cofins/ICMS]]*1.1</f>
        <v>1.8260000000000001</v>
      </c>
      <c r="G724" s="10"/>
    </row>
    <row r="725" spans="1:7" ht="15" customHeight="1" x14ac:dyDescent="0.25">
      <c r="A725">
        <f>IFERROR(VLOOKUP(Tabela15[[#This Row],[Produto]],[1]Planilha1!$K$3:$N$300,4,0),"NÃO")</f>
        <v>0.04</v>
      </c>
      <c r="B725" s="7">
        <v>1360</v>
      </c>
      <c r="C725" s="7" t="s">
        <v>796</v>
      </c>
      <c r="D725" s="7" t="s">
        <v>31</v>
      </c>
      <c r="E725" s="7" t="s">
        <v>770</v>
      </c>
      <c r="F725" s="15">
        <f>[2]!Tabela15[[#This Row],[Preço PIS/Cofins/ICMS]]*1.1</f>
        <v>0.52800000000000002</v>
      </c>
      <c r="G725" s="10"/>
    </row>
    <row r="726" spans="1:7" ht="15" customHeight="1" x14ac:dyDescent="0.25">
      <c r="A726">
        <f>IFERROR(VLOOKUP(Tabela15[[#This Row],[Produto]],[1]Planilha1!$K$3:$N$300,4,0),"NÃO")</f>
        <v>0.04</v>
      </c>
      <c r="B726" s="7">
        <v>1361</v>
      </c>
      <c r="C726" s="7" t="s">
        <v>797</v>
      </c>
      <c r="D726" s="7" t="s">
        <v>31</v>
      </c>
      <c r="E726" s="7" t="s">
        <v>770</v>
      </c>
      <c r="F726" s="15">
        <f>[2]!Tabela15[[#This Row],[Preço PIS/Cofins/ICMS]]*1.1</f>
        <v>0.83600000000000008</v>
      </c>
      <c r="G726" s="10"/>
    </row>
    <row r="727" spans="1:7" ht="15" customHeight="1" x14ac:dyDescent="0.25">
      <c r="A727" t="str">
        <f>IFERROR(VLOOKUP(Tabela15[[#This Row],[Produto]],[1]Planilha1!$K$3:$N$300,4,0),"NÃO")</f>
        <v>NÃO</v>
      </c>
      <c r="B727" s="7">
        <v>1362</v>
      </c>
      <c r="C727" s="7" t="s">
        <v>798</v>
      </c>
      <c r="D727" s="7" t="s">
        <v>31</v>
      </c>
      <c r="E727" s="7" t="s">
        <v>770</v>
      </c>
      <c r="F727" s="15">
        <f>[2]!Tabela15[[#This Row],[Preço PIS/Cofins/ICMS]]*1.1</f>
        <v>6.4130000000000003</v>
      </c>
      <c r="G727" s="10"/>
    </row>
    <row r="728" spans="1:7" ht="15" customHeight="1" x14ac:dyDescent="0.25">
      <c r="A728" t="str">
        <f>IFERROR(VLOOKUP(Tabela15[[#This Row],[Produto]],[1]Planilha1!$K$3:$N$300,4,0),"NÃO")</f>
        <v>NÃO</v>
      </c>
      <c r="B728" s="7">
        <v>1363</v>
      </c>
      <c r="C728" s="7" t="s">
        <v>799</v>
      </c>
      <c r="D728" s="7" t="s">
        <v>31</v>
      </c>
      <c r="E728" s="7" t="s">
        <v>770</v>
      </c>
      <c r="F728" s="15">
        <f>[2]!Tabela15[[#This Row],[Preço PIS/Cofins/ICMS]]*1.1</f>
        <v>5.6980000000000004</v>
      </c>
      <c r="G728" s="10"/>
    </row>
    <row r="729" spans="1:7" ht="15" customHeight="1" x14ac:dyDescent="0.25">
      <c r="A729" t="str">
        <f>IFERROR(VLOOKUP(Tabela15[[#This Row],[Produto]],[1]Planilha1!$K$3:$N$300,4,0),"NÃO")</f>
        <v>NÃO</v>
      </c>
      <c r="B729" s="7">
        <v>1364</v>
      </c>
      <c r="C729" s="7" t="s">
        <v>800</v>
      </c>
      <c r="D729" s="7" t="s">
        <v>31</v>
      </c>
      <c r="E729" s="7" t="s">
        <v>770</v>
      </c>
      <c r="F729" s="15">
        <f>[2]!Tabela15[[#This Row],[Preço PIS/Cofins/ICMS]]*1.1</f>
        <v>6.9190000000000005</v>
      </c>
      <c r="G729" s="10"/>
    </row>
    <row r="730" spans="1:7" ht="15" customHeight="1" x14ac:dyDescent="0.25">
      <c r="A730" t="str">
        <f>IFERROR(VLOOKUP(Tabela15[[#This Row],[Produto]],[1]Planilha1!$K$3:$N$300,4,0),"NÃO")</f>
        <v>NÃO</v>
      </c>
      <c r="B730" s="7">
        <v>1365</v>
      </c>
      <c r="C730" s="7" t="s">
        <v>801</v>
      </c>
      <c r="D730" s="7" t="s">
        <v>31</v>
      </c>
      <c r="E730" s="7" t="s">
        <v>770</v>
      </c>
      <c r="F730" s="15">
        <f>[2]!Tabela15[[#This Row],[Preço PIS/Cofins/ICMS]]*1.1</f>
        <v>13.299000000000001</v>
      </c>
      <c r="G730" s="10"/>
    </row>
    <row r="731" spans="1:7" ht="15" customHeight="1" x14ac:dyDescent="0.25">
      <c r="A731" t="str">
        <f>IFERROR(VLOOKUP(Tabela15[[#This Row],[Produto]],[1]Planilha1!$K$3:$N$300,4,0),"NÃO")</f>
        <v>NÃO</v>
      </c>
      <c r="B731" s="7">
        <v>1366</v>
      </c>
      <c r="C731" s="7" t="s">
        <v>802</v>
      </c>
      <c r="D731" s="7" t="s">
        <v>31</v>
      </c>
      <c r="E731" s="7" t="s">
        <v>770</v>
      </c>
      <c r="F731" s="15">
        <f>[2]!Tabela15[[#This Row],[Preço PIS/Cofins/ICMS]]*1.1</f>
        <v>1.3089999999999999</v>
      </c>
      <c r="G731" s="10"/>
    </row>
    <row r="732" spans="1:7" ht="15" customHeight="1" x14ac:dyDescent="0.25">
      <c r="A732" t="str">
        <f>IFERROR(VLOOKUP(Tabela15[[#This Row],[Produto]],[1]Planilha1!$K$3:$N$300,4,0),"NÃO")</f>
        <v>NÃO</v>
      </c>
      <c r="B732" s="7">
        <v>1367</v>
      </c>
      <c r="C732" s="7" t="s">
        <v>803</v>
      </c>
      <c r="D732" s="7" t="s">
        <v>31</v>
      </c>
      <c r="E732" s="7" t="s">
        <v>770</v>
      </c>
      <c r="F732" s="15">
        <f>[2]!Tabela15[[#This Row],[Preço PIS/Cofins/ICMS]]*1.1</f>
        <v>1.837</v>
      </c>
      <c r="G732" s="10"/>
    </row>
    <row r="733" spans="1:7" ht="15" customHeight="1" x14ac:dyDescent="0.25">
      <c r="A733" t="str">
        <f>IFERROR(VLOOKUP(Tabela15[[#This Row],[Produto]],[1]Planilha1!$K$3:$N$300,4,0),"NÃO")</f>
        <v>NÃO</v>
      </c>
      <c r="B733" s="7">
        <v>1368</v>
      </c>
      <c r="C733" s="7" t="s">
        <v>804</v>
      </c>
      <c r="D733" s="7" t="s">
        <v>31</v>
      </c>
      <c r="E733" s="7" t="s">
        <v>770</v>
      </c>
      <c r="F733" s="15">
        <f>[2]!Tabela15[[#This Row],[Preço PIS/Cofins/ICMS]]*1.1</f>
        <v>3.355</v>
      </c>
      <c r="G733" s="10"/>
    </row>
    <row r="734" spans="1:7" ht="15" customHeight="1" x14ac:dyDescent="0.25">
      <c r="A734">
        <f>IFERROR(VLOOKUP(Tabela15[[#This Row],[Produto]],[1]Planilha1!$K$3:$N$300,4,0),"NÃO")</f>
        <v>0.04</v>
      </c>
      <c r="B734" s="7">
        <v>1369</v>
      </c>
      <c r="C734" s="7" t="s">
        <v>805</v>
      </c>
      <c r="D734" s="7" t="s">
        <v>31</v>
      </c>
      <c r="E734" s="7" t="s">
        <v>770</v>
      </c>
      <c r="F734" s="15">
        <f>[2]!Tabela15[[#This Row],[Preço PIS/Cofins/ICMS]]*1.1</f>
        <v>11.55</v>
      </c>
      <c r="G734" s="10"/>
    </row>
    <row r="735" spans="1:7" ht="15" customHeight="1" x14ac:dyDescent="0.25">
      <c r="A735">
        <f>IFERROR(VLOOKUP(Tabela15[[#This Row],[Produto]],[1]Planilha1!$K$3:$N$300,4,0),"NÃO")</f>
        <v>0.04</v>
      </c>
      <c r="B735" s="7">
        <v>1370</v>
      </c>
      <c r="C735" s="7" t="s">
        <v>806</v>
      </c>
      <c r="D735" s="7" t="s">
        <v>31</v>
      </c>
      <c r="E735" s="7" t="s">
        <v>770</v>
      </c>
      <c r="F735" s="15">
        <f>[2]!Tabela15[[#This Row],[Preço PIS/Cofins/ICMS]]*1.1</f>
        <v>13.97</v>
      </c>
      <c r="G735" s="10"/>
    </row>
    <row r="736" spans="1:7" ht="15" customHeight="1" x14ac:dyDescent="0.25">
      <c r="A736" t="str">
        <f>IFERROR(VLOOKUP(Tabela15[[#This Row],[Produto]],[1]Planilha1!$K$3:$N$300,4,0),"NÃO")</f>
        <v>NÃO</v>
      </c>
      <c r="B736" s="7">
        <v>1371</v>
      </c>
      <c r="C736" s="7" t="s">
        <v>807</v>
      </c>
      <c r="D736" s="7" t="s">
        <v>31</v>
      </c>
      <c r="E736" s="7" t="s">
        <v>770</v>
      </c>
      <c r="F736" s="15">
        <f>[2]!Tabela15[[#This Row],[Preço PIS/Cofins/ICMS]]*1.1</f>
        <v>2.0240000000000005</v>
      </c>
      <c r="G736" s="10"/>
    </row>
    <row r="737" spans="1:7" ht="15" customHeight="1" x14ac:dyDescent="0.25">
      <c r="A737" t="str">
        <f>IFERROR(VLOOKUP(Tabela15[[#This Row],[Produto]],[1]Planilha1!$K$3:$N$300,4,0),"NÃO")</f>
        <v>NÃO</v>
      </c>
      <c r="B737" s="7">
        <v>1372</v>
      </c>
      <c r="C737" s="7" t="s">
        <v>808</v>
      </c>
      <c r="D737" s="7" t="s">
        <v>31</v>
      </c>
      <c r="E737" s="7" t="s">
        <v>770</v>
      </c>
      <c r="F737" s="15">
        <f>[2]!Tabela15[[#This Row],[Preço PIS/Cofins/ICMS]]*1.1</f>
        <v>3.2450000000000006</v>
      </c>
      <c r="G737" s="10"/>
    </row>
    <row r="738" spans="1:7" ht="15" customHeight="1" x14ac:dyDescent="0.25">
      <c r="A738" t="str">
        <f>IFERROR(VLOOKUP(Tabela15[[#This Row],[Produto]],[1]Planilha1!$K$3:$N$300,4,0),"NÃO")</f>
        <v>NÃO</v>
      </c>
      <c r="B738" s="7">
        <v>1373</v>
      </c>
      <c r="C738" s="7" t="s">
        <v>809</v>
      </c>
      <c r="D738" s="7" t="s">
        <v>31</v>
      </c>
      <c r="E738" s="7" t="s">
        <v>770</v>
      </c>
      <c r="F738" s="15">
        <f>[2]!Tabela15[[#This Row],[Preço PIS/Cofins/ICMS]]*1.1</f>
        <v>2.871</v>
      </c>
      <c r="G738" s="10"/>
    </row>
    <row r="739" spans="1:7" ht="15" customHeight="1" x14ac:dyDescent="0.25">
      <c r="A739" t="str">
        <f>IFERROR(VLOOKUP(Tabela15[[#This Row],[Produto]],[1]Planilha1!$K$3:$N$300,4,0),"NÃO")</f>
        <v>NÃO</v>
      </c>
      <c r="B739" s="7">
        <v>1374</v>
      </c>
      <c r="C739" s="7" t="s">
        <v>810</v>
      </c>
      <c r="D739" s="7" t="s">
        <v>31</v>
      </c>
      <c r="E739" s="7" t="s">
        <v>770</v>
      </c>
      <c r="F739" s="15">
        <f>[2]!Tabela15[[#This Row],[Preço PIS/Cofins/ICMS]]*1.1</f>
        <v>5.9840000000000009</v>
      </c>
      <c r="G739" s="10"/>
    </row>
    <row r="740" spans="1:7" ht="15" customHeight="1" x14ac:dyDescent="0.25">
      <c r="A740" t="str">
        <f>IFERROR(VLOOKUP(Tabela15[[#This Row],[Produto]],[1]Planilha1!$K$3:$N$300,4,0),"NÃO")</f>
        <v>NÃO</v>
      </c>
      <c r="B740" s="7">
        <v>1375</v>
      </c>
      <c r="C740" s="7" t="s">
        <v>811</v>
      </c>
      <c r="D740" s="7" t="s">
        <v>31</v>
      </c>
      <c r="E740" s="7" t="s">
        <v>770</v>
      </c>
      <c r="F740" s="15">
        <f>[2]!Tabela15[[#This Row],[Preço PIS/Cofins/ICMS]]*1.1</f>
        <v>6.3690000000000007</v>
      </c>
      <c r="G740" s="10"/>
    </row>
    <row r="741" spans="1:7" ht="15" customHeight="1" x14ac:dyDescent="0.25">
      <c r="A741" t="str">
        <f>IFERROR(VLOOKUP(Tabela15[[#This Row],[Produto]],[1]Planilha1!$K$3:$N$300,4,0),"NÃO")</f>
        <v>NÃO</v>
      </c>
      <c r="B741" s="7">
        <v>1376</v>
      </c>
      <c r="C741" s="7" t="s">
        <v>812</v>
      </c>
      <c r="D741" s="7" t="s">
        <v>31</v>
      </c>
      <c r="E741" s="7" t="s">
        <v>770</v>
      </c>
      <c r="F741" s="15">
        <f>[2]!Tabela15[[#This Row],[Preço PIS/Cofins/ICMS]]*1.1</f>
        <v>6.3250000000000002</v>
      </c>
      <c r="G741" s="10"/>
    </row>
    <row r="742" spans="1:7" ht="15" customHeight="1" x14ac:dyDescent="0.25">
      <c r="A742">
        <f>IFERROR(VLOOKUP(Tabela15[[#This Row],[Produto]],[1]Planilha1!$K$3:$N$300,4,0),"NÃO")</f>
        <v>0.04</v>
      </c>
      <c r="B742" s="7">
        <v>1377</v>
      </c>
      <c r="C742" s="7" t="s">
        <v>813</v>
      </c>
      <c r="D742" s="7" t="s">
        <v>31</v>
      </c>
      <c r="E742" s="7" t="s">
        <v>770</v>
      </c>
      <c r="F742" s="15">
        <f>[2]!Tabela15[[#This Row],[Preço PIS/Cofins/ICMS]]*1.1</f>
        <v>3.4760000000000004</v>
      </c>
      <c r="G742" s="10"/>
    </row>
    <row r="743" spans="1:7" ht="15" customHeight="1" x14ac:dyDescent="0.25">
      <c r="A743">
        <f>IFERROR(VLOOKUP(Tabela15[[#This Row],[Produto]],[1]Planilha1!$K$3:$N$300,4,0),"NÃO")</f>
        <v>0.04</v>
      </c>
      <c r="B743" s="7">
        <v>1378</v>
      </c>
      <c r="C743" s="7" t="s">
        <v>814</v>
      </c>
      <c r="D743" s="7" t="s">
        <v>31</v>
      </c>
      <c r="E743" s="7" t="s">
        <v>770</v>
      </c>
      <c r="F743" s="15">
        <f>[2]!Tabela15[[#This Row],[Preço PIS/Cofins/ICMS]]*1.1</f>
        <v>4.0920000000000005</v>
      </c>
      <c r="G743" s="10"/>
    </row>
    <row r="744" spans="1:7" ht="15" customHeight="1" x14ac:dyDescent="0.25">
      <c r="A744">
        <f>IFERROR(VLOOKUP(Tabela15[[#This Row],[Produto]],[1]Planilha1!$K$3:$N$300,4,0),"NÃO")</f>
        <v>0.04</v>
      </c>
      <c r="B744" s="7">
        <v>1379</v>
      </c>
      <c r="C744" s="7" t="s">
        <v>815</v>
      </c>
      <c r="D744" s="7" t="s">
        <v>31</v>
      </c>
      <c r="E744" s="7" t="s">
        <v>770</v>
      </c>
      <c r="F744" s="15">
        <f>[2]!Tabela15[[#This Row],[Preço PIS/Cofins/ICMS]]*1.1</f>
        <v>5.027000000000001</v>
      </c>
      <c r="G744" s="10"/>
    </row>
    <row r="745" spans="1:7" ht="15" customHeight="1" x14ac:dyDescent="0.25">
      <c r="A745">
        <f>IFERROR(VLOOKUP(Tabela15[[#This Row],[Produto]],[1]Planilha1!$K$3:$N$300,4,0),"NÃO")</f>
        <v>0.04</v>
      </c>
      <c r="B745" s="7">
        <v>1380</v>
      </c>
      <c r="C745" s="7" t="s">
        <v>816</v>
      </c>
      <c r="D745" s="7" t="s">
        <v>31</v>
      </c>
      <c r="E745" s="7" t="s">
        <v>770</v>
      </c>
      <c r="F745" s="15">
        <f>[2]!Tabela15[[#This Row],[Preço PIS/Cofins/ICMS]]*1.1</f>
        <v>5.61</v>
      </c>
      <c r="G745" s="10"/>
    </row>
    <row r="746" spans="1:7" ht="15" customHeight="1" x14ac:dyDescent="0.25">
      <c r="A746">
        <f>IFERROR(VLOOKUP(Tabela15[[#This Row],[Produto]],[1]Planilha1!$K$3:$N$300,4,0),"NÃO")</f>
        <v>0.04</v>
      </c>
      <c r="B746" s="7">
        <v>1381</v>
      </c>
      <c r="C746" s="7" t="s">
        <v>817</v>
      </c>
      <c r="D746" s="7" t="s">
        <v>31</v>
      </c>
      <c r="E746" s="7" t="s">
        <v>770</v>
      </c>
      <c r="F746" s="15">
        <f>[2]!Tabela15[[#This Row],[Preço PIS/Cofins/ICMS]]*1.1</f>
        <v>7.8760000000000012</v>
      </c>
      <c r="G746" s="10"/>
    </row>
    <row r="747" spans="1:7" ht="15" customHeight="1" x14ac:dyDescent="0.25">
      <c r="A747" t="str">
        <f>IFERROR(VLOOKUP(Tabela15[[#This Row],[Produto]],[1]Planilha1!$K$3:$N$300,4,0),"NÃO")</f>
        <v>NÃO</v>
      </c>
      <c r="B747" s="7">
        <v>1382</v>
      </c>
      <c r="C747" s="7" t="s">
        <v>818</v>
      </c>
      <c r="D747" s="7" t="s">
        <v>31</v>
      </c>
      <c r="E747" s="7" t="s">
        <v>770</v>
      </c>
      <c r="F747" s="15">
        <f>[2]!Tabela15[[#This Row],[Preço PIS/Cofins/ICMS]]*1.1</f>
        <v>1.9360000000000002</v>
      </c>
      <c r="G747" s="10"/>
    </row>
    <row r="748" spans="1:7" ht="15" customHeight="1" x14ac:dyDescent="0.25">
      <c r="A748" t="str">
        <f>IFERROR(VLOOKUP(Tabela15[[#This Row],[Produto]],[1]Planilha1!$K$3:$N$300,4,0),"NÃO")</f>
        <v>NÃO</v>
      </c>
      <c r="B748" s="7">
        <v>1383</v>
      </c>
      <c r="C748" s="7" t="s">
        <v>819</v>
      </c>
      <c r="D748" s="7" t="s">
        <v>31</v>
      </c>
      <c r="E748" s="7" t="s">
        <v>770</v>
      </c>
      <c r="F748" s="15">
        <f>[2]!Tabela15[[#This Row],[Preço PIS/Cofins/ICMS]]*1.1</f>
        <v>3.2010000000000005</v>
      </c>
      <c r="G748" s="10"/>
    </row>
    <row r="749" spans="1:7" ht="15" customHeight="1" x14ac:dyDescent="0.25">
      <c r="A749" t="str">
        <f>IFERROR(VLOOKUP(Tabela15[[#This Row],[Produto]],[1]Planilha1!$K$3:$N$300,4,0),"NÃO")</f>
        <v>NÃO</v>
      </c>
      <c r="B749" s="7">
        <v>1384</v>
      </c>
      <c r="C749" s="7" t="s">
        <v>820</v>
      </c>
      <c r="D749" s="7" t="s">
        <v>31</v>
      </c>
      <c r="E749" s="7" t="s">
        <v>770</v>
      </c>
      <c r="F749" s="15">
        <f>[2]!Tabela15[[#This Row],[Preço PIS/Cofins/ICMS]]*1.1</f>
        <v>4.3670000000000009</v>
      </c>
      <c r="G749" s="10"/>
    </row>
    <row r="750" spans="1:7" ht="15" customHeight="1" x14ac:dyDescent="0.25">
      <c r="A750" t="str">
        <f>IFERROR(VLOOKUP(Tabela15[[#This Row],[Produto]],[1]Planilha1!$K$3:$N$300,4,0),"NÃO")</f>
        <v>NÃO</v>
      </c>
      <c r="B750" s="7">
        <v>1385</v>
      </c>
      <c r="C750" s="7" t="s">
        <v>821</v>
      </c>
      <c r="D750" s="7" t="s">
        <v>31</v>
      </c>
      <c r="E750" s="7" t="s">
        <v>770</v>
      </c>
      <c r="F750" s="15">
        <f>[2]!Tabela15[[#This Row],[Preço PIS/Cofins/ICMS]]*1.1</f>
        <v>2.7940000000000005</v>
      </c>
      <c r="G750" s="10"/>
    </row>
    <row r="751" spans="1:7" ht="15" customHeight="1" x14ac:dyDescent="0.25">
      <c r="A751" t="str">
        <f>IFERROR(VLOOKUP(Tabela15[[#This Row],[Produto]],[1]Planilha1!$K$3:$N$300,4,0),"NÃO")</f>
        <v>NÃO</v>
      </c>
      <c r="B751" s="7">
        <v>1386</v>
      </c>
      <c r="C751" s="7" t="s">
        <v>822</v>
      </c>
      <c r="D751" s="7" t="s">
        <v>31</v>
      </c>
      <c r="E751" s="7" t="s">
        <v>770</v>
      </c>
      <c r="F751" s="15">
        <f>[2]!Tabela15[[#This Row],[Preço PIS/Cofins/ICMS]]*1.1</f>
        <v>4.3559999999999999</v>
      </c>
      <c r="G751" s="10"/>
    </row>
    <row r="752" spans="1:7" ht="15" customHeight="1" x14ac:dyDescent="0.25">
      <c r="A752" t="str">
        <f>IFERROR(VLOOKUP(Tabela15[[#This Row],[Produto]],[1]Planilha1!$K$3:$N$300,4,0),"NÃO")</f>
        <v>NÃO</v>
      </c>
      <c r="B752" s="7">
        <v>1387</v>
      </c>
      <c r="C752" s="7" t="s">
        <v>823</v>
      </c>
      <c r="D752" s="7" t="s">
        <v>31</v>
      </c>
      <c r="E752" s="7" t="s">
        <v>824</v>
      </c>
      <c r="F752" s="15">
        <f>[2]!Tabela15[[#This Row],[Preço PIS/Cofins/ICMS]]*1.1</f>
        <v>2.387</v>
      </c>
      <c r="G752" s="10"/>
    </row>
    <row r="753" spans="1:7" ht="15" customHeight="1" x14ac:dyDescent="0.25">
      <c r="A753" t="str">
        <f>IFERROR(VLOOKUP(Tabela15[[#This Row],[Produto]],[1]Planilha1!$K$3:$N$300,4,0),"NÃO")</f>
        <v>NÃO</v>
      </c>
      <c r="B753" s="7">
        <v>1388</v>
      </c>
      <c r="C753" s="7" t="s">
        <v>825</v>
      </c>
      <c r="D753" s="7" t="s">
        <v>31</v>
      </c>
      <c r="E753" s="7" t="s">
        <v>824</v>
      </c>
      <c r="F753" s="15">
        <f>[2]!Tabela15[[#This Row],[Preço PIS/Cofins/ICMS]]*1.1</f>
        <v>7.8430000000000009</v>
      </c>
      <c r="G753" s="10"/>
    </row>
    <row r="754" spans="1:7" ht="15" customHeight="1" x14ac:dyDescent="0.25">
      <c r="A754" t="str">
        <f>IFERROR(VLOOKUP(Tabela15[[#This Row],[Produto]],[1]Planilha1!$K$3:$N$300,4,0),"NÃO")</f>
        <v>NÃO</v>
      </c>
      <c r="B754" s="7">
        <v>1389</v>
      </c>
      <c r="C754" s="7" t="s">
        <v>826</v>
      </c>
      <c r="D754" s="7" t="s">
        <v>31</v>
      </c>
      <c r="E754" s="7" t="s">
        <v>824</v>
      </c>
      <c r="F754" s="15">
        <f>[2]!Tabela15[[#This Row],[Preço PIS/Cofins/ICMS]]*1.1</f>
        <v>15.356000000000002</v>
      </c>
      <c r="G754" s="10"/>
    </row>
    <row r="755" spans="1:7" ht="15" customHeight="1" x14ac:dyDescent="0.25">
      <c r="A755" t="str">
        <f>IFERROR(VLOOKUP(Tabela15[[#This Row],[Produto]],[1]Planilha1!$K$3:$N$300,4,0),"NÃO")</f>
        <v>NÃO</v>
      </c>
      <c r="B755" s="7">
        <v>1390</v>
      </c>
      <c r="C755" s="7" t="s">
        <v>827</v>
      </c>
      <c r="D755" s="7" t="s">
        <v>31</v>
      </c>
      <c r="E755" s="7" t="s">
        <v>824</v>
      </c>
      <c r="F755" s="15">
        <f>[2]!Tabela15[[#This Row],[Preço PIS/Cofins/ICMS]]*1.1</f>
        <v>61.731999999999999</v>
      </c>
      <c r="G755" s="10"/>
    </row>
    <row r="756" spans="1:7" ht="15" customHeight="1" x14ac:dyDescent="0.25">
      <c r="A756" t="str">
        <f>IFERROR(VLOOKUP(Tabela15[[#This Row],[Produto]],[1]Planilha1!$K$3:$N$300,4,0),"NÃO")</f>
        <v>NÃO</v>
      </c>
      <c r="B756" s="7">
        <v>1400</v>
      </c>
      <c r="C756" s="7" t="s">
        <v>828</v>
      </c>
      <c r="D756" s="7" t="s">
        <v>83</v>
      </c>
      <c r="E756" s="7" t="s">
        <v>400</v>
      </c>
      <c r="F756" s="15">
        <f>[2]!Tabela15[[#This Row],[Preço PIS/Cofins/ICMS]]*1.1</f>
        <v>1.298</v>
      </c>
      <c r="G756" s="10"/>
    </row>
    <row r="757" spans="1:7" ht="15" customHeight="1" x14ac:dyDescent="0.25">
      <c r="A757" t="str">
        <f>IFERROR(VLOOKUP(Tabela15[[#This Row],[Produto]],[1]Planilha1!$K$3:$N$300,4,0),"NÃO")</f>
        <v>NÃO</v>
      </c>
      <c r="B757" s="7">
        <v>1401</v>
      </c>
      <c r="C757" s="7" t="s">
        <v>829</v>
      </c>
      <c r="D757" s="7" t="s">
        <v>83</v>
      </c>
      <c r="E757" s="7" t="s">
        <v>397</v>
      </c>
      <c r="F757" s="15">
        <f>[2]!Tabela15[[#This Row],[Preço PIS/Cofins/ICMS]]*1.1</f>
        <v>0.50600000000000012</v>
      </c>
      <c r="G757" s="10"/>
    </row>
    <row r="758" spans="1:7" ht="15" customHeight="1" x14ac:dyDescent="0.25">
      <c r="A758" t="str">
        <f>IFERROR(VLOOKUP(Tabela15[[#This Row],[Produto]],[1]Planilha1!$K$3:$N$300,4,0),"NÃO")</f>
        <v>NÃO</v>
      </c>
      <c r="B758" s="7">
        <v>1402</v>
      </c>
      <c r="C758" s="7" t="s">
        <v>830</v>
      </c>
      <c r="D758" s="7" t="s">
        <v>83</v>
      </c>
      <c r="E758" s="7" t="s">
        <v>400</v>
      </c>
      <c r="F758" s="15">
        <f>[2]!Tabela15[[#This Row],[Preço PIS/Cofins/ICMS]]*1.1</f>
        <v>1.2100000000000002</v>
      </c>
      <c r="G758" s="10"/>
    </row>
    <row r="759" spans="1:7" ht="15" customHeight="1" x14ac:dyDescent="0.25">
      <c r="A759" t="str">
        <f>IFERROR(VLOOKUP(Tabela15[[#This Row],[Produto]],[1]Planilha1!$K$3:$N$300,4,0),"NÃO")</f>
        <v>NÃO</v>
      </c>
      <c r="B759" s="7">
        <v>1403</v>
      </c>
      <c r="C759" s="7" t="s">
        <v>831</v>
      </c>
      <c r="D759" s="7" t="s">
        <v>83</v>
      </c>
      <c r="E759" s="7" t="s">
        <v>400</v>
      </c>
      <c r="F759" s="15">
        <f>[2]!Tabela15[[#This Row],[Preço PIS/Cofins/ICMS]]*1.1</f>
        <v>2.1120000000000001</v>
      </c>
      <c r="G759" s="10"/>
    </row>
    <row r="760" spans="1:7" ht="15" customHeight="1" x14ac:dyDescent="0.25">
      <c r="A760" t="str">
        <f>IFERROR(VLOOKUP(Tabela15[[#This Row],[Produto]],[1]Planilha1!$K$3:$N$300,4,0),"NÃO")</f>
        <v>NÃO</v>
      </c>
      <c r="B760" s="7">
        <v>1404</v>
      </c>
      <c r="C760" s="7" t="s">
        <v>832</v>
      </c>
      <c r="D760" s="7" t="s">
        <v>83</v>
      </c>
      <c r="E760" s="7" t="s">
        <v>400</v>
      </c>
      <c r="F760" s="15">
        <f>[2]!Tabela15[[#This Row],[Preço PIS/Cofins/ICMS]]*1.1</f>
        <v>6.8310000000000004</v>
      </c>
      <c r="G760" s="10"/>
    </row>
    <row r="761" spans="1:7" ht="15" customHeight="1" x14ac:dyDescent="0.25">
      <c r="A761" t="str">
        <f>IFERROR(VLOOKUP(Tabela15[[#This Row],[Produto]],[1]Planilha1!$K$3:$N$300,4,0),"NÃO")</f>
        <v>NÃO</v>
      </c>
      <c r="B761" s="7">
        <v>1405</v>
      </c>
      <c r="C761" s="7" t="s">
        <v>833</v>
      </c>
      <c r="D761" s="7" t="s">
        <v>83</v>
      </c>
      <c r="E761" s="7" t="s">
        <v>400</v>
      </c>
      <c r="F761" s="15">
        <f>[2]!Tabela15[[#This Row],[Preço PIS/Cofins/ICMS]]*1.1</f>
        <v>14.366000000000001</v>
      </c>
      <c r="G761" s="10"/>
    </row>
    <row r="762" spans="1:7" ht="15" customHeight="1" x14ac:dyDescent="0.25">
      <c r="A762" t="str">
        <f>IFERROR(VLOOKUP(Tabela15[[#This Row],[Produto]],[1]Planilha1!$K$3:$N$300,4,0),"NÃO")</f>
        <v>NÃO</v>
      </c>
      <c r="B762" s="7">
        <v>1407</v>
      </c>
      <c r="C762" s="7" t="s">
        <v>834</v>
      </c>
      <c r="D762" s="7" t="s">
        <v>83</v>
      </c>
      <c r="E762" s="7" t="s">
        <v>400</v>
      </c>
      <c r="F762" s="15">
        <f>[2]!Tabela15[[#This Row],[Preço PIS/Cofins/ICMS]]*1.1</f>
        <v>3.2010000000000005</v>
      </c>
      <c r="G762" s="10"/>
    </row>
    <row r="763" spans="1:7" ht="15" customHeight="1" x14ac:dyDescent="0.25">
      <c r="A763" t="str">
        <f>IFERROR(VLOOKUP(Tabela15[[#This Row],[Produto]],[1]Planilha1!$K$3:$N$300,4,0),"NÃO")</f>
        <v>NÃO</v>
      </c>
      <c r="B763" s="7">
        <v>1409</v>
      </c>
      <c r="C763" s="7" t="s">
        <v>835</v>
      </c>
      <c r="D763" s="7" t="s">
        <v>83</v>
      </c>
      <c r="E763" s="7" t="s">
        <v>400</v>
      </c>
      <c r="F763" s="15">
        <f>[2]!Tabela15[[#This Row],[Preço PIS/Cofins/ICMS]]*1.1</f>
        <v>8.5910000000000011</v>
      </c>
      <c r="G763" s="10"/>
    </row>
    <row r="764" spans="1:7" ht="15" customHeight="1" x14ac:dyDescent="0.25">
      <c r="A764" t="str">
        <f>IFERROR(VLOOKUP(Tabela15[[#This Row],[Produto]],[1]Planilha1!$K$3:$N$300,4,0),"NÃO")</f>
        <v>NÃO</v>
      </c>
      <c r="B764" s="7">
        <v>1410</v>
      </c>
      <c r="C764" s="7" t="s">
        <v>836</v>
      </c>
      <c r="D764" s="7" t="s">
        <v>83</v>
      </c>
      <c r="E764" s="7" t="s">
        <v>400</v>
      </c>
      <c r="F764" s="15">
        <f>[2]!Tabela15[[#This Row],[Preço PIS/Cofins/ICMS]]*1.1</f>
        <v>11.088000000000001</v>
      </c>
      <c r="G764" s="10"/>
    </row>
    <row r="765" spans="1:7" ht="15" customHeight="1" x14ac:dyDescent="0.25">
      <c r="A765" t="str">
        <f>IFERROR(VLOOKUP(Tabela15[[#This Row],[Produto]],[1]Planilha1!$K$3:$N$300,4,0),"NÃO")</f>
        <v>NÃO</v>
      </c>
      <c r="B765" s="7">
        <v>1411</v>
      </c>
      <c r="C765" s="7" t="s">
        <v>837</v>
      </c>
      <c r="D765" s="7" t="s">
        <v>83</v>
      </c>
      <c r="E765" s="7" t="s">
        <v>400</v>
      </c>
      <c r="F765" s="15">
        <f>[2]!Tabela15[[#This Row],[Preço PIS/Cofins/ICMS]]*1.1</f>
        <v>41.987000000000002</v>
      </c>
      <c r="G765" s="10"/>
    </row>
    <row r="766" spans="1:7" ht="15" customHeight="1" x14ac:dyDescent="0.25">
      <c r="A766" t="str">
        <f>IFERROR(VLOOKUP(Tabela15[[#This Row],[Produto]],[1]Planilha1!$K$3:$N$300,4,0),"NÃO")</f>
        <v>NÃO</v>
      </c>
      <c r="B766" s="7">
        <v>1413</v>
      </c>
      <c r="C766" s="7" t="s">
        <v>838</v>
      </c>
      <c r="D766" s="7" t="s">
        <v>83</v>
      </c>
      <c r="E766" s="7" t="s">
        <v>397</v>
      </c>
      <c r="F766" s="15">
        <f>[2]!Tabela15[[#This Row],[Preço PIS/Cofins/ICMS]]*1.1</f>
        <v>0.84700000000000009</v>
      </c>
      <c r="G766" s="10"/>
    </row>
    <row r="767" spans="1:7" ht="15" customHeight="1" x14ac:dyDescent="0.25">
      <c r="A767" t="str">
        <f>IFERROR(VLOOKUP(Tabela15[[#This Row],[Produto]],[1]Planilha1!$K$3:$N$300,4,0),"NÃO")</f>
        <v>NÃO</v>
      </c>
      <c r="B767" s="7">
        <v>1414</v>
      </c>
      <c r="C767" s="7" t="s">
        <v>839</v>
      </c>
      <c r="D767" s="7" t="s">
        <v>83</v>
      </c>
      <c r="E767" s="7" t="s">
        <v>400</v>
      </c>
      <c r="F767" s="15">
        <f>[2]!Tabela15[[#This Row],[Preço PIS/Cofins/ICMS]]*1.1</f>
        <v>2.1230000000000002</v>
      </c>
      <c r="G767" s="10"/>
    </row>
    <row r="768" spans="1:7" ht="15" customHeight="1" x14ac:dyDescent="0.25">
      <c r="A768" t="str">
        <f>IFERROR(VLOOKUP(Tabela15[[#This Row],[Produto]],[1]Planilha1!$K$3:$N$300,4,0),"NÃO")</f>
        <v>NÃO</v>
      </c>
      <c r="B768" s="7">
        <v>1415</v>
      </c>
      <c r="C768" s="7" t="s">
        <v>840</v>
      </c>
      <c r="D768" s="7" t="s">
        <v>83</v>
      </c>
      <c r="E768" s="7" t="s">
        <v>400</v>
      </c>
      <c r="F768" s="15">
        <f>[2]!Tabela15[[#This Row],[Preço PIS/Cofins/ICMS]]*1.1</f>
        <v>4.1140000000000008</v>
      </c>
      <c r="G768" s="10"/>
    </row>
    <row r="769" spans="1:7" ht="15" customHeight="1" x14ac:dyDescent="0.25">
      <c r="A769" t="str">
        <f>IFERROR(VLOOKUP(Tabela15[[#This Row],[Produto]],[1]Planilha1!$K$3:$N$300,4,0),"NÃO")</f>
        <v>NÃO</v>
      </c>
      <c r="B769" s="7">
        <v>1416</v>
      </c>
      <c r="C769" s="7" t="s">
        <v>841</v>
      </c>
      <c r="D769" s="7" t="s">
        <v>83</v>
      </c>
      <c r="E769" s="7" t="s">
        <v>400</v>
      </c>
      <c r="F769" s="15">
        <f>[2]!Tabela15[[#This Row],[Preço PIS/Cofins/ICMS]]*1.1</f>
        <v>7.3370000000000006</v>
      </c>
      <c r="G769" s="10"/>
    </row>
    <row r="770" spans="1:7" ht="15" customHeight="1" x14ac:dyDescent="0.25">
      <c r="A770" t="str">
        <f>IFERROR(VLOOKUP(Tabela15[[#This Row],[Produto]],[1]Planilha1!$K$3:$N$300,4,0),"NÃO")</f>
        <v>NÃO</v>
      </c>
      <c r="B770" s="7">
        <v>1417</v>
      </c>
      <c r="C770" s="7" t="s">
        <v>842</v>
      </c>
      <c r="D770" s="7" t="s">
        <v>83</v>
      </c>
      <c r="E770" s="7" t="s">
        <v>400</v>
      </c>
      <c r="F770" s="15">
        <f>[2]!Tabela15[[#This Row],[Coluna1]]*1.1</f>
        <v>21.571000000000002</v>
      </c>
      <c r="G770" s="10"/>
    </row>
    <row r="771" spans="1:7" ht="15" customHeight="1" x14ac:dyDescent="0.25">
      <c r="A771" t="str">
        <f>IFERROR(VLOOKUP(Tabela15[[#This Row],[Produto]],[1]Planilha1!$K$3:$N$300,4,0),"NÃO")</f>
        <v>NÃO</v>
      </c>
      <c r="B771" s="7">
        <v>1419</v>
      </c>
      <c r="C771" s="7" t="s">
        <v>843</v>
      </c>
      <c r="D771" s="7" t="s">
        <v>83</v>
      </c>
      <c r="E771" s="7" t="s">
        <v>397</v>
      </c>
      <c r="F771" s="15">
        <f>[2]!Tabela15[[#This Row],[Preço PIS/Cofins/ICMS]]*1.1</f>
        <v>0.9900000000000001</v>
      </c>
      <c r="G771" s="10"/>
    </row>
    <row r="772" spans="1:7" ht="15" customHeight="1" x14ac:dyDescent="0.25">
      <c r="A772" t="str">
        <f>IFERROR(VLOOKUP(Tabela15[[#This Row],[Produto]],[1]Planilha1!$K$3:$N$300,4,0),"NÃO")</f>
        <v>NÃO</v>
      </c>
      <c r="B772" s="7">
        <v>1420</v>
      </c>
      <c r="C772" s="7" t="s">
        <v>844</v>
      </c>
      <c r="D772" s="7" t="s">
        <v>83</v>
      </c>
      <c r="E772" s="7" t="s">
        <v>400</v>
      </c>
      <c r="F772" s="15">
        <f>[2]!Tabela15[[#This Row],[Preço PIS/Cofins/ICMS]]*1.1</f>
        <v>2.1890000000000001</v>
      </c>
      <c r="G772" s="10"/>
    </row>
    <row r="773" spans="1:7" ht="15" customHeight="1" x14ac:dyDescent="0.25">
      <c r="A773" t="str">
        <f>IFERROR(VLOOKUP(Tabela15[[#This Row],[Produto]],[1]Planilha1!$K$3:$N$300,4,0),"NÃO")</f>
        <v>NÃO</v>
      </c>
      <c r="B773" s="7">
        <v>1421</v>
      </c>
      <c r="C773" s="7" t="s">
        <v>845</v>
      </c>
      <c r="D773" s="7" t="s">
        <v>83</v>
      </c>
      <c r="E773" s="7" t="s">
        <v>400</v>
      </c>
      <c r="F773" s="15">
        <f>[2]!Tabela15[[#This Row],[Preço PIS/Cofins/ICMS]]*1.1</f>
        <v>4.5650000000000004</v>
      </c>
      <c r="G773" s="10"/>
    </row>
    <row r="774" spans="1:7" ht="15" customHeight="1" x14ac:dyDescent="0.25">
      <c r="A774" t="str">
        <f>IFERROR(VLOOKUP(Tabela15[[#This Row],[Produto]],[1]Planilha1!$K$3:$N$300,4,0),"NÃO")</f>
        <v>NÃO</v>
      </c>
      <c r="B774" s="7">
        <v>1422</v>
      </c>
      <c r="C774" s="7" t="s">
        <v>846</v>
      </c>
      <c r="D774" s="7" t="s">
        <v>83</v>
      </c>
      <c r="E774" s="7" t="s">
        <v>400</v>
      </c>
      <c r="F774" s="15">
        <f>[2]!Tabela15[[#This Row],[Preço PIS/Cofins/ICMS]]*1.1</f>
        <v>8.5470000000000006</v>
      </c>
      <c r="G774" s="10"/>
    </row>
    <row r="775" spans="1:7" ht="15" customHeight="1" x14ac:dyDescent="0.25">
      <c r="A775" t="str">
        <f>IFERROR(VLOOKUP(Tabela15[[#This Row],[Produto]],[1]Planilha1!$K$3:$N$300,4,0),"NÃO")</f>
        <v>NÃO</v>
      </c>
      <c r="B775" s="7">
        <v>1423</v>
      </c>
      <c r="C775" s="7" t="s">
        <v>847</v>
      </c>
      <c r="D775" s="7" t="s">
        <v>83</v>
      </c>
      <c r="E775" s="7" t="s">
        <v>400</v>
      </c>
      <c r="F775" s="15">
        <f>[2]!Tabela15[[#This Row],[Preço PIS/Cofins/ICMS]]*1.1</f>
        <v>36.498000000000005</v>
      </c>
      <c r="G775" s="10"/>
    </row>
    <row r="776" spans="1:7" ht="15" customHeight="1" x14ac:dyDescent="0.25">
      <c r="A776" t="str">
        <f>IFERROR(VLOOKUP(Tabela15[[#This Row],[Produto]],[1]Planilha1!$K$3:$N$300,4,0),"NÃO")</f>
        <v>NÃO</v>
      </c>
      <c r="B776" s="7">
        <v>1425</v>
      </c>
      <c r="C776" s="7" t="s">
        <v>848</v>
      </c>
      <c r="D776" s="7" t="s">
        <v>83</v>
      </c>
      <c r="E776" s="7" t="s">
        <v>400</v>
      </c>
      <c r="F776" s="15">
        <f>[2]!Tabela15[[#This Row],[Preço PIS/Cofins/ICMS]]*1.1</f>
        <v>6.3580000000000005</v>
      </c>
      <c r="G776" s="10"/>
    </row>
    <row r="777" spans="1:7" ht="15" customHeight="1" x14ac:dyDescent="0.25">
      <c r="A777" t="str">
        <f>IFERROR(VLOOKUP(Tabela15[[#This Row],[Produto]],[1]Planilha1!$K$3:$N$300,4,0),"NÃO")</f>
        <v>NÃO</v>
      </c>
      <c r="B777" s="7">
        <v>1426</v>
      </c>
      <c r="C777" s="7" t="s">
        <v>849</v>
      </c>
      <c r="D777" s="7" t="s">
        <v>83</v>
      </c>
      <c r="E777" s="7" t="s">
        <v>400</v>
      </c>
      <c r="F777" s="15">
        <f>[2]!Tabela15[[#This Row],[Preço PIS/Cofins/ICMS]]*1.1</f>
        <v>40.986000000000004</v>
      </c>
      <c r="G777" s="10"/>
    </row>
    <row r="778" spans="1:7" ht="15" customHeight="1" x14ac:dyDescent="0.25">
      <c r="A778" t="str">
        <f>IFERROR(VLOOKUP(Tabela15[[#This Row],[Produto]],[1]Planilha1!$K$3:$N$300,4,0),"NÃO")</f>
        <v>NÃO</v>
      </c>
      <c r="B778" s="7">
        <v>1427</v>
      </c>
      <c r="C778" s="7" t="s">
        <v>850</v>
      </c>
      <c r="D778" s="7" t="s">
        <v>83</v>
      </c>
      <c r="E778" s="7" t="s">
        <v>397</v>
      </c>
      <c r="F778" s="15">
        <f>[2]!Tabela15[[#This Row],[Preço PIS/Cofins/ICMS]]*1.1</f>
        <v>2.101</v>
      </c>
      <c r="G778" s="10"/>
    </row>
    <row r="779" spans="1:7" ht="15" customHeight="1" x14ac:dyDescent="0.25">
      <c r="A779" t="str">
        <f>IFERROR(VLOOKUP(Tabela15[[#This Row],[Produto]],[1]Planilha1!$K$3:$N$300,4,0),"NÃO")</f>
        <v>NÃO</v>
      </c>
      <c r="B779" s="7">
        <v>1428</v>
      </c>
      <c r="C779" s="7" t="s">
        <v>851</v>
      </c>
      <c r="D779" s="7" t="s">
        <v>83</v>
      </c>
      <c r="E779" s="7" t="s">
        <v>400</v>
      </c>
      <c r="F779" s="15">
        <f>[2]!Tabela15[[#This Row],[Preço PIS/Cofins/ICMS]]*1.1</f>
        <v>4.3340000000000005</v>
      </c>
      <c r="G779" s="10"/>
    </row>
    <row r="780" spans="1:7" ht="15" customHeight="1" x14ac:dyDescent="0.25">
      <c r="A780" t="str">
        <f>IFERROR(VLOOKUP(Tabela15[[#This Row],[Produto]],[1]Planilha1!$K$3:$N$300,4,0),"NÃO")</f>
        <v>NÃO</v>
      </c>
      <c r="B780" s="7">
        <v>1429</v>
      </c>
      <c r="C780" s="7" t="s">
        <v>852</v>
      </c>
      <c r="D780" s="7" t="s">
        <v>83</v>
      </c>
      <c r="E780" s="7" t="s">
        <v>400</v>
      </c>
      <c r="F780" s="15">
        <f>[2]!Tabela15[[#This Row],[Preço PIS/Cofins/ICMS]]*1.1</f>
        <v>7.5020000000000007</v>
      </c>
      <c r="G780" s="10"/>
    </row>
    <row r="781" spans="1:7" ht="15" customHeight="1" x14ac:dyDescent="0.25">
      <c r="A781" t="str">
        <f>IFERROR(VLOOKUP(Tabela15[[#This Row],[Produto]],[1]Planilha1!$K$3:$N$300,4,0),"NÃO")</f>
        <v>NÃO</v>
      </c>
      <c r="B781" s="7">
        <v>1430</v>
      </c>
      <c r="C781" s="7" t="s">
        <v>853</v>
      </c>
      <c r="D781" s="7" t="s">
        <v>83</v>
      </c>
      <c r="E781" s="7" t="s">
        <v>400</v>
      </c>
      <c r="F781" s="15">
        <f>[2]!Tabela15[[#This Row],[Preço PIS/Cofins/ICMS]]*1.1</f>
        <v>18.744</v>
      </c>
      <c r="G781" s="10"/>
    </row>
    <row r="782" spans="1:7" ht="15" customHeight="1" x14ac:dyDescent="0.25">
      <c r="A782" t="str">
        <f>IFERROR(VLOOKUP(Tabela15[[#This Row],[Produto]],[1]Planilha1!$K$3:$N$300,4,0),"NÃO")</f>
        <v>NÃO</v>
      </c>
      <c r="B782" s="7">
        <v>1431</v>
      </c>
      <c r="C782" s="7" t="s">
        <v>854</v>
      </c>
      <c r="D782" s="7" t="s">
        <v>83</v>
      </c>
      <c r="E782" s="7" t="s">
        <v>400</v>
      </c>
      <c r="F782" s="15">
        <f>[2]!Tabela15[[#This Row],[Preço PIS/Cofins/ICMS]]*1.1</f>
        <v>43.120000000000005</v>
      </c>
      <c r="G782" s="10"/>
    </row>
    <row r="783" spans="1:7" ht="15" customHeight="1" x14ac:dyDescent="0.25">
      <c r="A783" t="str">
        <f>IFERROR(VLOOKUP(Tabela15[[#This Row],[Produto]],[1]Planilha1!$K$3:$N$300,4,0),"NÃO")</f>
        <v>NÃO</v>
      </c>
      <c r="B783" s="7">
        <v>1433</v>
      </c>
      <c r="C783" s="7" t="s">
        <v>855</v>
      </c>
      <c r="D783" s="7" t="s">
        <v>83</v>
      </c>
      <c r="E783" s="7" t="s">
        <v>400</v>
      </c>
      <c r="F783" s="15">
        <f>[2]!Tabela15[[#This Row],[Preço PIS/Cofins/ICMS]]*1.1</f>
        <v>11.385</v>
      </c>
      <c r="G783" s="10"/>
    </row>
    <row r="784" spans="1:7" ht="15" customHeight="1" x14ac:dyDescent="0.25">
      <c r="A784" t="str">
        <f>IFERROR(VLOOKUP(Tabela15[[#This Row],[Produto]],[1]Planilha1!$K$3:$N$300,4,0),"NÃO")</f>
        <v>NÃO</v>
      </c>
      <c r="B784" s="7">
        <v>1434</v>
      </c>
      <c r="C784" s="7" t="s">
        <v>856</v>
      </c>
      <c r="D784" s="7" t="s">
        <v>83</v>
      </c>
      <c r="E784" s="7" t="s">
        <v>400</v>
      </c>
      <c r="F784" s="15">
        <f>[2]!Tabela15[[#This Row],[Preço PIS/Cofins/ICMS]]*1.1</f>
        <v>23.595000000000002</v>
      </c>
      <c r="G784" s="10"/>
    </row>
    <row r="785" spans="1:7" ht="15" customHeight="1" x14ac:dyDescent="0.25">
      <c r="A785" t="str">
        <f>IFERROR(VLOOKUP(Tabela15[[#This Row],[Produto]],[1]Planilha1!$K$3:$N$300,4,0),"NÃO")</f>
        <v>NÃO</v>
      </c>
      <c r="B785" s="7">
        <v>1435</v>
      </c>
      <c r="C785" s="7" t="s">
        <v>857</v>
      </c>
      <c r="D785" s="7" t="s">
        <v>83</v>
      </c>
      <c r="E785" s="7" t="s">
        <v>400</v>
      </c>
      <c r="F785" s="15">
        <f>[2]!Tabela15[[#This Row],[Preço PIS/Cofins/ICMS]]*1.1</f>
        <v>33.407000000000004</v>
      </c>
      <c r="G785" s="10"/>
    </row>
    <row r="786" spans="1:7" ht="15" customHeight="1" x14ac:dyDescent="0.25">
      <c r="A786" t="str">
        <f>IFERROR(VLOOKUP(Tabela15[[#This Row],[Produto]],[1]Planilha1!$K$3:$N$300,4,0),"NÃO")</f>
        <v>NÃO</v>
      </c>
      <c r="B786" s="7">
        <v>1436</v>
      </c>
      <c r="C786" s="7" t="s">
        <v>858</v>
      </c>
      <c r="D786" s="7" t="s">
        <v>83</v>
      </c>
      <c r="E786" s="7" t="s">
        <v>400</v>
      </c>
      <c r="F786" s="15">
        <f>[2]!Tabela15[[#This Row],[Coluna1]]*1.1</f>
        <v>47.552999999999997</v>
      </c>
      <c r="G786" s="10"/>
    </row>
    <row r="787" spans="1:7" ht="15" customHeight="1" x14ac:dyDescent="0.25">
      <c r="A787" t="str">
        <f>IFERROR(VLOOKUP(Tabela15[[#This Row],[Produto]],[1]Planilha1!$K$3:$N$300,4,0),"NÃO")</f>
        <v>NÃO</v>
      </c>
      <c r="B787" s="7">
        <v>1438</v>
      </c>
      <c r="C787" s="7" t="s">
        <v>859</v>
      </c>
      <c r="D787" s="7" t="s">
        <v>83</v>
      </c>
      <c r="E787" s="7" t="s">
        <v>397</v>
      </c>
      <c r="F787" s="15">
        <f>[2]!Tabela15[[#This Row],[Preço PIS/Cofins/ICMS]]*1.1</f>
        <v>0.627</v>
      </c>
      <c r="G787" s="10"/>
    </row>
    <row r="788" spans="1:7" ht="15" customHeight="1" x14ac:dyDescent="0.25">
      <c r="A788" t="str">
        <f>IFERROR(VLOOKUP(Tabela15[[#This Row],[Produto]],[1]Planilha1!$K$3:$N$300,4,0),"NÃO")</f>
        <v>NÃO</v>
      </c>
      <c r="B788" s="7">
        <v>1439</v>
      </c>
      <c r="C788" s="7" t="s">
        <v>860</v>
      </c>
      <c r="D788" s="7" t="s">
        <v>83</v>
      </c>
      <c r="E788" s="7" t="s">
        <v>400</v>
      </c>
      <c r="F788" s="15">
        <f>[2]!Tabela15[[#This Row],[Preço PIS/Cofins/ICMS]]*1.1</f>
        <v>1.4300000000000002</v>
      </c>
      <c r="G788" s="10"/>
    </row>
    <row r="789" spans="1:7" ht="15" customHeight="1" x14ac:dyDescent="0.25">
      <c r="A789" t="str">
        <f>IFERROR(VLOOKUP(Tabela15[[#This Row],[Produto]],[1]Planilha1!$K$3:$N$300,4,0),"NÃO")</f>
        <v>NÃO</v>
      </c>
      <c r="B789" s="7">
        <v>1440</v>
      </c>
      <c r="C789" s="7" t="s">
        <v>861</v>
      </c>
      <c r="D789" s="7" t="s">
        <v>83</v>
      </c>
      <c r="E789" s="7" t="s">
        <v>400</v>
      </c>
      <c r="F789" s="15">
        <f>[2]!Tabela15[[#This Row],[Preço PIS/Cofins/ICMS]]*1.1</f>
        <v>2.4420000000000006</v>
      </c>
      <c r="G789" s="10"/>
    </row>
    <row r="790" spans="1:7" ht="15" customHeight="1" x14ac:dyDescent="0.25">
      <c r="A790" t="str">
        <f>IFERROR(VLOOKUP(Tabela15[[#This Row],[Produto]],[1]Planilha1!$K$3:$N$300,4,0),"NÃO")</f>
        <v>NÃO</v>
      </c>
      <c r="B790" s="7">
        <v>1441</v>
      </c>
      <c r="C790" s="7" t="s">
        <v>862</v>
      </c>
      <c r="D790" s="7" t="s">
        <v>83</v>
      </c>
      <c r="E790" s="7" t="s">
        <v>400</v>
      </c>
      <c r="F790" s="15">
        <f>[2]!Tabela15[[#This Row],[Preço PIS/Cofins/ICMS]]*1.1</f>
        <v>4.8620000000000001</v>
      </c>
      <c r="G790" s="10"/>
    </row>
    <row r="791" spans="1:7" ht="15" customHeight="1" x14ac:dyDescent="0.25">
      <c r="A791" t="str">
        <f>IFERROR(VLOOKUP(Tabela15[[#This Row],[Produto]],[1]Planilha1!$K$3:$N$300,4,0),"NÃO")</f>
        <v>NÃO</v>
      </c>
      <c r="B791" s="7">
        <v>1442</v>
      </c>
      <c r="C791" s="7" t="s">
        <v>863</v>
      </c>
      <c r="D791" s="7" t="s">
        <v>83</v>
      </c>
      <c r="E791" s="7" t="s">
        <v>400</v>
      </c>
      <c r="F791" s="15">
        <f>[2]!Tabela15[[#This Row],[Preço PIS/Cofins/ICMS]]*1.1</f>
        <v>9.8450000000000006</v>
      </c>
      <c r="G791" s="10"/>
    </row>
    <row r="792" spans="1:7" ht="15" customHeight="1" x14ac:dyDescent="0.25">
      <c r="A792" t="str">
        <f>IFERROR(VLOOKUP(Tabela15[[#This Row],[Produto]],[1]Planilha1!$K$3:$N$300,4,0),"NÃO")</f>
        <v>NÃO</v>
      </c>
      <c r="B792" s="7">
        <v>1444</v>
      </c>
      <c r="C792" s="7" t="s">
        <v>864</v>
      </c>
      <c r="D792" s="7" t="s">
        <v>83</v>
      </c>
      <c r="E792" s="7" t="s">
        <v>397</v>
      </c>
      <c r="F792" s="15">
        <f>[2]!Tabela15[[#This Row],[Preço PIS/Cofins/ICMS]]*1.1</f>
        <v>5.8520000000000012</v>
      </c>
      <c r="G792" s="10"/>
    </row>
    <row r="793" spans="1:7" ht="15" customHeight="1" x14ac:dyDescent="0.25">
      <c r="A793" t="str">
        <f>IFERROR(VLOOKUP(Tabela15[[#This Row],[Produto]],[1]Planilha1!$K$3:$N$300,4,0),"NÃO")</f>
        <v>NÃO</v>
      </c>
      <c r="B793" s="7">
        <v>1445</v>
      </c>
      <c r="C793" s="7" t="s">
        <v>865</v>
      </c>
      <c r="D793" s="7" t="s">
        <v>83</v>
      </c>
      <c r="E793" s="7" t="s">
        <v>400</v>
      </c>
      <c r="F793" s="15">
        <f>[2]!Tabela15[[#This Row],[Preço PIS/Cofins/ICMS]]*1.1</f>
        <v>3.5640000000000005</v>
      </c>
      <c r="G793" s="10"/>
    </row>
    <row r="794" spans="1:7" ht="15" customHeight="1" x14ac:dyDescent="0.25">
      <c r="A794" t="str">
        <f>IFERROR(VLOOKUP(Tabela15[[#This Row],[Produto]],[1]Planilha1!$K$3:$N$300,4,0),"NÃO")</f>
        <v>NÃO</v>
      </c>
      <c r="B794" s="7">
        <v>1446</v>
      </c>
      <c r="C794" s="7" t="s">
        <v>866</v>
      </c>
      <c r="D794" s="7" t="s">
        <v>83</v>
      </c>
      <c r="E794" s="7" t="s">
        <v>400</v>
      </c>
      <c r="F794" s="15">
        <f>[2]!Tabela15[[#This Row],[Preço PIS/Cofins/ICMS]]*1.1</f>
        <v>7.1830000000000007</v>
      </c>
      <c r="G794" s="10"/>
    </row>
    <row r="795" spans="1:7" ht="15" customHeight="1" x14ac:dyDescent="0.25">
      <c r="A795" t="str">
        <f>IFERROR(VLOOKUP(Tabela15[[#This Row],[Produto]],[1]Planilha1!$K$3:$N$300,4,0),"NÃO")</f>
        <v>NÃO</v>
      </c>
      <c r="B795" s="7">
        <v>1447</v>
      </c>
      <c r="C795" s="7" t="s">
        <v>867</v>
      </c>
      <c r="D795" s="7" t="s">
        <v>83</v>
      </c>
      <c r="E795" s="7" t="s">
        <v>400</v>
      </c>
      <c r="F795" s="15">
        <f>[2]!Tabela15[[#This Row],[Preço PIS/Cofins/ICMS]]*1.1</f>
        <v>10.989000000000001</v>
      </c>
      <c r="G795" s="10"/>
    </row>
    <row r="796" spans="1:7" ht="15" customHeight="1" x14ac:dyDescent="0.25">
      <c r="A796" t="str">
        <f>IFERROR(VLOOKUP(Tabela15[[#This Row],[Produto]],[1]Planilha1!$K$3:$N$300,4,0),"NÃO")</f>
        <v>NÃO</v>
      </c>
      <c r="B796" s="7">
        <v>1448</v>
      </c>
      <c r="C796" s="7" t="s">
        <v>868</v>
      </c>
      <c r="D796" s="7" t="s">
        <v>83</v>
      </c>
      <c r="E796" s="7" t="s">
        <v>400</v>
      </c>
      <c r="F796" s="15">
        <f>[2]!Tabela15[[#This Row],[Preço PIS/Cofins/ICMS]]*1.1</f>
        <v>27.929000000000002</v>
      </c>
      <c r="G796" s="10"/>
    </row>
    <row r="797" spans="1:7" ht="15" customHeight="1" x14ac:dyDescent="0.25">
      <c r="A797" t="str">
        <f>IFERROR(VLOOKUP(Tabela15[[#This Row],[Produto]],[1]Planilha1!$K$3:$N$300,4,0),"NÃO")</f>
        <v>NÃO</v>
      </c>
      <c r="B797" s="7">
        <v>1450</v>
      </c>
      <c r="C797" s="7" t="s">
        <v>869</v>
      </c>
      <c r="D797" s="7" t="s">
        <v>83</v>
      </c>
      <c r="E797" s="7" t="s">
        <v>400</v>
      </c>
      <c r="F797" s="15">
        <f>[2]!Tabela15[[#This Row],[Preço PIS/Cofins/ICMS]]*1.1</f>
        <v>4.4550000000000001</v>
      </c>
      <c r="G797" s="10"/>
    </row>
    <row r="798" spans="1:7" ht="15" customHeight="1" x14ac:dyDescent="0.25">
      <c r="A798" t="str">
        <f>IFERROR(VLOOKUP(Tabela15[[#This Row],[Produto]],[1]Planilha1!$K$3:$N$300,4,0),"NÃO")</f>
        <v>NÃO</v>
      </c>
      <c r="B798" s="7">
        <v>1451</v>
      </c>
      <c r="C798" s="7" t="s">
        <v>870</v>
      </c>
      <c r="D798" s="7" t="s">
        <v>83</v>
      </c>
      <c r="E798" s="7" t="s">
        <v>400</v>
      </c>
      <c r="F798" s="15">
        <f>[2]!Tabela15[[#This Row],[Preço PIS/Cofins/ICMS]]*1.1</f>
        <v>33.748000000000005</v>
      </c>
      <c r="G798" s="10"/>
    </row>
    <row r="799" spans="1:7" ht="15" customHeight="1" x14ac:dyDescent="0.25">
      <c r="A799" t="str">
        <f>IFERROR(VLOOKUP(Tabela15[[#This Row],[Produto]],[1]Planilha1!$K$3:$N$300,4,0),"NÃO")</f>
        <v>NÃO</v>
      </c>
      <c r="B799" s="7">
        <v>1452</v>
      </c>
      <c r="C799" s="7" t="s">
        <v>871</v>
      </c>
      <c r="D799" s="7" t="s">
        <v>83</v>
      </c>
      <c r="E799" s="7" t="s">
        <v>400</v>
      </c>
      <c r="F799" s="15">
        <f>[2]!Tabela15[[#This Row],[Preço PIS/Cofins/ICMS]]*1.1</f>
        <v>5.9070000000000009</v>
      </c>
      <c r="G799" s="10"/>
    </row>
    <row r="800" spans="1:7" ht="15" customHeight="1" x14ac:dyDescent="0.25">
      <c r="A800" t="str">
        <f>IFERROR(VLOOKUP(Tabela15[[#This Row],[Produto]],[1]Planilha1!$K$3:$N$300,4,0),"NÃO")</f>
        <v>NÃO</v>
      </c>
      <c r="B800" s="7">
        <v>1453</v>
      </c>
      <c r="C800" s="7" t="s">
        <v>872</v>
      </c>
      <c r="D800" s="7" t="s">
        <v>83</v>
      </c>
      <c r="E800" s="7" t="s">
        <v>400</v>
      </c>
      <c r="F800" s="15">
        <f>[2]!Tabela15[[#This Row],[Preço PIS/Cofins/ICMS]]*1.1</f>
        <v>15.180000000000001</v>
      </c>
      <c r="G800" s="10"/>
    </row>
    <row r="801" spans="1:7" ht="15" customHeight="1" x14ac:dyDescent="0.25">
      <c r="A801" t="str">
        <f>IFERROR(VLOOKUP(Tabela15[[#This Row],[Produto]],[1]Planilha1!$K$3:$N$300,4,0),"NÃO")</f>
        <v>NÃO</v>
      </c>
      <c r="B801" s="7">
        <v>1456</v>
      </c>
      <c r="C801" s="7" t="s">
        <v>873</v>
      </c>
      <c r="D801" s="7" t="s">
        <v>83</v>
      </c>
      <c r="E801" s="7" t="s">
        <v>397</v>
      </c>
      <c r="F801" s="15">
        <f>[2]!Tabela15[[#This Row],[Preço PIS/Cofins/ICMS]]*1.1</f>
        <v>1.4190000000000003</v>
      </c>
      <c r="G801" s="10"/>
    </row>
    <row r="802" spans="1:7" ht="15" customHeight="1" x14ac:dyDescent="0.25">
      <c r="A802" t="str">
        <f>IFERROR(VLOOKUP(Tabela15[[#This Row],[Produto]],[1]Planilha1!$K$3:$N$300,4,0),"NÃO")</f>
        <v>NÃO</v>
      </c>
      <c r="B802" s="7">
        <v>1457</v>
      </c>
      <c r="C802" s="7" t="s">
        <v>874</v>
      </c>
      <c r="D802" s="7" t="s">
        <v>83</v>
      </c>
      <c r="E802" s="7" t="s">
        <v>400</v>
      </c>
      <c r="F802" s="15">
        <f>[2]!Tabela15[[#This Row],[Preço PIS/Cofins/ICMS]]*1.1</f>
        <v>3.8610000000000002</v>
      </c>
      <c r="G802" s="10"/>
    </row>
    <row r="803" spans="1:7" ht="15" customHeight="1" x14ac:dyDescent="0.25">
      <c r="A803" t="str">
        <f>IFERROR(VLOOKUP(Tabela15[[#This Row],[Produto]],[1]Planilha1!$K$3:$N$300,4,0),"NÃO")</f>
        <v>NÃO</v>
      </c>
      <c r="B803" s="7">
        <v>1458</v>
      </c>
      <c r="C803" s="7" t="s">
        <v>875</v>
      </c>
      <c r="D803" s="7" t="s">
        <v>83</v>
      </c>
      <c r="E803" s="7" t="s">
        <v>400</v>
      </c>
      <c r="F803" s="15">
        <f>[2]!Tabela15[[#This Row],[Preço PIS/Cofins/ICMS]]*1.1</f>
        <v>9.9880000000000013</v>
      </c>
      <c r="G803" s="10"/>
    </row>
    <row r="804" spans="1:7" ht="15" customHeight="1" x14ac:dyDescent="0.25">
      <c r="A804" t="str">
        <f>IFERROR(VLOOKUP(Tabela15[[#This Row],[Produto]],[1]Planilha1!$K$3:$N$300,4,0),"NÃO")</f>
        <v>NÃO</v>
      </c>
      <c r="B804" s="7">
        <v>1459</v>
      </c>
      <c r="C804" s="7" t="s">
        <v>876</v>
      </c>
      <c r="D804" s="7" t="s">
        <v>83</v>
      </c>
      <c r="E804" s="7" t="s">
        <v>400</v>
      </c>
      <c r="F804" s="15">
        <f>[2]!Tabela15[[#This Row],[Preço PIS/Cofins/ICMS]]*1.1</f>
        <v>15.07</v>
      </c>
      <c r="G804" s="10"/>
    </row>
    <row r="805" spans="1:7" ht="15" customHeight="1" x14ac:dyDescent="0.25">
      <c r="A805" t="str">
        <f>IFERROR(VLOOKUP(Tabela15[[#This Row],[Produto]],[1]Planilha1!$K$3:$N$300,4,0),"NÃO")</f>
        <v>NÃO</v>
      </c>
      <c r="B805" s="7">
        <v>1460</v>
      </c>
      <c r="C805" s="7" t="s">
        <v>877</v>
      </c>
      <c r="D805" s="7" t="s">
        <v>83</v>
      </c>
      <c r="E805" s="7" t="s">
        <v>400</v>
      </c>
      <c r="F805" s="15">
        <f>[2]!Tabela15[[#This Row],[Preço PIS/Cofins/ICMS]]*1.1</f>
        <v>28.611000000000004</v>
      </c>
      <c r="G805" s="10"/>
    </row>
    <row r="806" spans="1:7" ht="15" customHeight="1" x14ac:dyDescent="0.25">
      <c r="A806" t="str">
        <f>IFERROR(VLOOKUP(Tabela15[[#This Row],[Produto]],[1]Planilha1!$K$3:$N$300,4,0),"NÃO")</f>
        <v>NÃO</v>
      </c>
      <c r="B806" s="7">
        <v>1462</v>
      </c>
      <c r="C806" s="7" t="s">
        <v>878</v>
      </c>
      <c r="D806" s="7" t="s">
        <v>83</v>
      </c>
      <c r="E806" s="7" t="s">
        <v>400</v>
      </c>
      <c r="F806" s="15">
        <f>[2]!Tabela15[[#This Row],[Preço PIS/Cofins/ICMS]]*1.1</f>
        <v>8.3930000000000007</v>
      </c>
      <c r="G806" s="10"/>
    </row>
    <row r="807" spans="1:7" ht="15" customHeight="1" x14ac:dyDescent="0.25">
      <c r="A807" t="str">
        <f>IFERROR(VLOOKUP(Tabela15[[#This Row],[Produto]],[1]Planilha1!$K$3:$N$300,4,0),"NÃO")</f>
        <v>NÃO</v>
      </c>
      <c r="B807" s="7">
        <v>1463</v>
      </c>
      <c r="C807" s="7" t="s">
        <v>879</v>
      </c>
      <c r="D807" s="7" t="s">
        <v>83</v>
      </c>
      <c r="E807" s="7" t="s">
        <v>400</v>
      </c>
      <c r="F807" s="15">
        <f>[2]!Tabela15[[#This Row],[Preço PIS/Cofins/ICMS]]*1.1</f>
        <v>29.634000000000004</v>
      </c>
      <c r="G807" s="10"/>
    </row>
    <row r="808" spans="1:7" ht="15" customHeight="1" x14ac:dyDescent="0.25">
      <c r="A808" t="str">
        <f>IFERROR(VLOOKUP(Tabela15[[#This Row],[Produto]],[1]Planilha1!$K$3:$N$300,4,0),"NÃO")</f>
        <v>NÃO</v>
      </c>
      <c r="B808" s="7">
        <v>1464</v>
      </c>
      <c r="C808" s="7" t="s">
        <v>880</v>
      </c>
      <c r="D808" s="7" t="s">
        <v>83</v>
      </c>
      <c r="E808" s="7" t="s">
        <v>400</v>
      </c>
      <c r="F808" s="15">
        <f>[2]!Tabela15[[#This Row],[Preço PIS/Cofins/ICMS]]*1.1</f>
        <v>11.495000000000001</v>
      </c>
      <c r="G808" s="10"/>
    </row>
    <row r="809" spans="1:7" ht="15" customHeight="1" x14ac:dyDescent="0.25">
      <c r="A809" t="str">
        <f>IFERROR(VLOOKUP(Tabela15[[#This Row],[Produto]],[1]Planilha1!$K$3:$N$300,4,0),"NÃO")</f>
        <v>NÃO</v>
      </c>
      <c r="B809" s="7">
        <v>1465</v>
      </c>
      <c r="C809" s="7" t="s">
        <v>881</v>
      </c>
      <c r="D809" s="7" t="s">
        <v>83</v>
      </c>
      <c r="E809" s="7" t="s">
        <v>400</v>
      </c>
      <c r="F809" s="15">
        <f>[2]!Tabela15[[#This Row],[Preço PIS/Cofins/ICMS]]*1.1</f>
        <v>39.963000000000001</v>
      </c>
      <c r="G809" s="10"/>
    </row>
    <row r="810" spans="1:7" ht="15" customHeight="1" x14ac:dyDescent="0.25">
      <c r="A810" t="str">
        <f>IFERROR(VLOOKUP(Tabela15[[#This Row],[Produto]],[1]Planilha1!$K$3:$N$300,4,0),"NÃO")</f>
        <v>NÃO</v>
      </c>
      <c r="B810" s="7">
        <v>1467</v>
      </c>
      <c r="C810" s="7" t="s">
        <v>882</v>
      </c>
      <c r="D810" s="7" t="s">
        <v>83</v>
      </c>
      <c r="E810" s="7" t="s">
        <v>400</v>
      </c>
      <c r="F810" s="15">
        <f>[2]!Tabela15[[#This Row],[Preço PIS/Cofins/ICMS]]*1.1</f>
        <v>14.872</v>
      </c>
      <c r="G810" s="10"/>
    </row>
    <row r="811" spans="1:7" ht="15" customHeight="1" x14ac:dyDescent="0.25">
      <c r="A811" t="str">
        <f>IFERROR(VLOOKUP(Tabela15[[#This Row],[Produto]],[1]Planilha1!$K$3:$N$300,4,0),"NÃO")</f>
        <v>NÃO</v>
      </c>
      <c r="B811" s="7">
        <v>1468</v>
      </c>
      <c r="C811" s="7" t="s">
        <v>883</v>
      </c>
      <c r="D811" s="7" t="s">
        <v>83</v>
      </c>
      <c r="E811" s="7" t="s">
        <v>400</v>
      </c>
      <c r="F811" s="15">
        <f>[2]!Tabela15[[#This Row],[Preço PIS/Cofins/ICMS]]*1.1</f>
        <v>12.056000000000003</v>
      </c>
      <c r="G811" s="10"/>
    </row>
    <row r="812" spans="1:7" ht="15" customHeight="1" x14ac:dyDescent="0.25">
      <c r="A812" t="str">
        <f>IFERROR(VLOOKUP(Tabela15[[#This Row],[Produto]],[1]Planilha1!$K$3:$N$300,4,0),"NÃO")</f>
        <v>NÃO</v>
      </c>
      <c r="B812" s="7">
        <v>1469</v>
      </c>
      <c r="C812" s="7" t="s">
        <v>884</v>
      </c>
      <c r="D812" s="7" t="s">
        <v>83</v>
      </c>
      <c r="E812" s="7" t="s">
        <v>400</v>
      </c>
      <c r="F812" s="15">
        <v>40.24</v>
      </c>
      <c r="G812" s="10"/>
    </row>
    <row r="813" spans="1:7" ht="15" customHeight="1" x14ac:dyDescent="0.25">
      <c r="A813" t="str">
        <f>IFERROR(VLOOKUP(Tabela15[[#This Row],[Produto]],[1]Planilha1!$K$3:$N$300,4,0),"NÃO")</f>
        <v>NÃO</v>
      </c>
      <c r="B813" s="7">
        <v>1472</v>
      </c>
      <c r="C813" s="7" t="s">
        <v>885</v>
      </c>
      <c r="D813" s="7" t="s">
        <v>83</v>
      </c>
      <c r="E813" s="7" t="s">
        <v>400</v>
      </c>
      <c r="F813" s="15">
        <f>[2]!Tabela15[[#This Row],[Preço PIS/Cofins/ICMS]]*1.1</f>
        <v>16.698</v>
      </c>
      <c r="G813" s="10"/>
    </row>
    <row r="814" spans="1:7" ht="15" customHeight="1" x14ac:dyDescent="0.25">
      <c r="A814" t="str">
        <f>IFERROR(VLOOKUP(Tabela15[[#This Row],[Produto]],[1]Planilha1!$K$3:$N$300,4,0),"NÃO")</f>
        <v>NÃO</v>
      </c>
      <c r="B814" s="7">
        <v>1481</v>
      </c>
      <c r="C814" s="7" t="s">
        <v>886</v>
      </c>
      <c r="D814" s="7" t="s">
        <v>83</v>
      </c>
      <c r="E814" s="7" t="s">
        <v>887</v>
      </c>
      <c r="F814" s="15">
        <f>[2]!Tabela15[[#This Row],[Preço PIS/Cofins/ICMS]]*1.1</f>
        <v>167.92600000000002</v>
      </c>
      <c r="G814" s="10"/>
    </row>
    <row r="815" spans="1:7" ht="15" customHeight="1" x14ac:dyDescent="0.25">
      <c r="A815" t="str">
        <f>IFERROR(VLOOKUP(Tabela15[[#This Row],[Produto]],[1]Planilha1!$K$3:$N$300,4,0),"NÃO")</f>
        <v>NÃO</v>
      </c>
      <c r="B815" s="7">
        <v>1482</v>
      </c>
      <c r="C815" s="7" t="s">
        <v>888</v>
      </c>
      <c r="D815" s="7" t="s">
        <v>83</v>
      </c>
      <c r="E815" s="7" t="s">
        <v>887</v>
      </c>
      <c r="F815" s="15">
        <f>[2]!Tabela15[[#This Row],[Preço PIS/Cofins/ICMS]]*1.1</f>
        <v>144.03400000000002</v>
      </c>
      <c r="G815" s="10"/>
    </row>
    <row r="816" spans="1:7" ht="15" customHeight="1" x14ac:dyDescent="0.25">
      <c r="A816" t="str">
        <f>IFERROR(VLOOKUP(Tabela15[[#This Row],[Produto]],[1]Planilha1!$K$3:$N$300,4,0),"NÃO")</f>
        <v>NÃO</v>
      </c>
      <c r="B816" s="7">
        <v>1483</v>
      </c>
      <c r="C816" s="7" t="s">
        <v>889</v>
      </c>
      <c r="D816" s="7" t="s">
        <v>83</v>
      </c>
      <c r="E816" s="7" t="s">
        <v>887</v>
      </c>
      <c r="F816" s="15">
        <f>[2]!Tabela15[[#This Row],[Preço PIS/Cofins/ICMS]]*1.1</f>
        <v>213.31200000000001</v>
      </c>
      <c r="G816" s="10"/>
    </row>
    <row r="817" spans="1:7" ht="15" customHeight="1" x14ac:dyDescent="0.25">
      <c r="A817" t="str">
        <f>IFERROR(VLOOKUP(Tabela15[[#This Row],[Produto]],[1]Planilha1!$K$3:$N$300,4,0),"NÃO")</f>
        <v>NÃO</v>
      </c>
      <c r="B817" s="7">
        <v>1484</v>
      </c>
      <c r="C817" s="7" t="s">
        <v>890</v>
      </c>
      <c r="D817" s="7" t="s">
        <v>83</v>
      </c>
      <c r="E817" s="7" t="s">
        <v>887</v>
      </c>
      <c r="F817" s="15">
        <f>[2]!Tabela15[[#This Row],[Preço PIS/Cofins/ICMS]]*1.1</f>
        <v>213.334</v>
      </c>
      <c r="G817" s="10"/>
    </row>
    <row r="818" spans="1:7" ht="15" customHeight="1" x14ac:dyDescent="0.25">
      <c r="A818" t="str">
        <f>IFERROR(VLOOKUP(Tabela15[[#This Row],[Produto]],[1]Planilha1!$K$3:$N$300,4,0),"NÃO")</f>
        <v>NÃO</v>
      </c>
      <c r="B818" s="7">
        <v>1485</v>
      </c>
      <c r="C818" s="7" t="s">
        <v>891</v>
      </c>
      <c r="D818" s="7" t="s">
        <v>83</v>
      </c>
      <c r="E818" s="7" t="s">
        <v>887</v>
      </c>
      <c r="F818" s="15">
        <f>[2]!Tabela15[[#This Row],[Preço PIS/Cofins/ICMS]]*1.1</f>
        <v>40.436</v>
      </c>
      <c r="G818" s="10"/>
    </row>
    <row r="819" spans="1:7" ht="15" customHeight="1" x14ac:dyDescent="0.25">
      <c r="A819" t="str">
        <f>IFERROR(VLOOKUP(Tabela15[[#This Row],[Produto]],[1]Planilha1!$K$3:$N$300,4,0),"NÃO")</f>
        <v>NÃO</v>
      </c>
      <c r="B819" s="7">
        <v>1486</v>
      </c>
      <c r="C819" s="7" t="s">
        <v>892</v>
      </c>
      <c r="D819" s="7" t="s">
        <v>83</v>
      </c>
      <c r="E819" s="7" t="s">
        <v>887</v>
      </c>
      <c r="F819" s="15">
        <f>[2]!Tabela15[[#This Row],[Preço PIS/Cofins/ICMS]]*1.1</f>
        <v>94.809000000000012</v>
      </c>
      <c r="G819" s="10"/>
    </row>
    <row r="820" spans="1:7" ht="15" customHeight="1" x14ac:dyDescent="0.25">
      <c r="A820" t="str">
        <f>IFERROR(VLOOKUP(Tabela15[[#This Row],[Produto]],[1]Planilha1!$K$3:$N$300,4,0),"NÃO")</f>
        <v>NÃO</v>
      </c>
      <c r="B820" s="7">
        <v>1487</v>
      </c>
      <c r="C820" s="7" t="s">
        <v>893</v>
      </c>
      <c r="D820" s="7" t="s">
        <v>83</v>
      </c>
      <c r="E820" s="7" t="s">
        <v>887</v>
      </c>
      <c r="F820" s="15">
        <f>[2]!Tabela15[[#This Row],[Preço PIS/Cofins/ICMS]]*1.1</f>
        <v>87.50500000000001</v>
      </c>
      <c r="G820" s="10"/>
    </row>
    <row r="821" spans="1:7" ht="15" customHeight="1" x14ac:dyDescent="0.25">
      <c r="A821" t="str">
        <f>IFERROR(VLOOKUP(Tabela15[[#This Row],[Produto]],[1]Planilha1!$K$3:$N$300,4,0),"NÃO")</f>
        <v>NÃO</v>
      </c>
      <c r="B821" s="7">
        <v>1488</v>
      </c>
      <c r="C821" s="7" t="s">
        <v>894</v>
      </c>
      <c r="D821" s="7" t="s">
        <v>83</v>
      </c>
      <c r="E821" s="7" t="s">
        <v>887</v>
      </c>
      <c r="F821" s="15">
        <f>[2]!Tabela15[[#This Row],[Preço PIS/Cofins/ICMS]]*1.1</f>
        <v>70.004000000000005</v>
      </c>
      <c r="G821" s="10"/>
    </row>
    <row r="822" spans="1:7" ht="15" customHeight="1" x14ac:dyDescent="0.25">
      <c r="A822" t="str">
        <f>IFERROR(VLOOKUP(Tabela15[[#This Row],[Produto]],[1]Planilha1!$K$3:$N$300,4,0),"NÃO")</f>
        <v>NÃO</v>
      </c>
      <c r="B822" s="7">
        <v>1489</v>
      </c>
      <c r="C822" s="7" t="s">
        <v>895</v>
      </c>
      <c r="D822" s="7" t="s">
        <v>83</v>
      </c>
      <c r="E822" s="7" t="s">
        <v>887</v>
      </c>
      <c r="F822" s="15">
        <f>[2]!Tabela15[[#This Row],[Preço PIS/Cofins/ICMS]]*1.1</f>
        <v>58.333000000000006</v>
      </c>
      <c r="G822" s="10"/>
    </row>
    <row r="823" spans="1:7" ht="15" customHeight="1" x14ac:dyDescent="0.25">
      <c r="A823" t="str">
        <f>IFERROR(VLOOKUP(Tabela15[[#This Row],[Produto]],[1]Planilha1!$K$3:$N$300,4,0),"NÃO")</f>
        <v>NÃO</v>
      </c>
      <c r="B823" s="7">
        <v>1490</v>
      </c>
      <c r="C823" s="7" t="s">
        <v>896</v>
      </c>
      <c r="D823" s="7" t="s">
        <v>83</v>
      </c>
      <c r="E823" s="7" t="s">
        <v>887</v>
      </c>
      <c r="F823" s="15">
        <f>[2]!Tabela15[[#This Row],[Preço PIS/Cofins/ICMS]]*1.1</f>
        <v>10.218999999999999</v>
      </c>
      <c r="G823" s="10"/>
    </row>
    <row r="824" spans="1:7" ht="15" customHeight="1" x14ac:dyDescent="0.25">
      <c r="A824">
        <f>IFERROR(VLOOKUP(Tabela15[[#This Row],[Produto]],[1]Planilha1!$K$3:$N$300,4,0),"NÃO")</f>
        <v>0.04</v>
      </c>
      <c r="B824" s="7">
        <v>1499</v>
      </c>
      <c r="C824" s="7" t="s">
        <v>897</v>
      </c>
      <c r="D824" s="7" t="s">
        <v>63</v>
      </c>
      <c r="E824" s="7" t="s">
        <v>898</v>
      </c>
      <c r="F824" s="15">
        <f>[2]!Tabela15[[#This Row],[Preço PIS/Cofins/ICMS]]*1.1</f>
        <v>5.83</v>
      </c>
      <c r="G824" s="10"/>
    </row>
    <row r="825" spans="1:7" ht="15" customHeight="1" x14ac:dyDescent="0.25">
      <c r="A825">
        <f>IFERROR(VLOOKUP(Tabela15[[#This Row],[Produto]],[1]Planilha1!$K$3:$N$300,4,0),"NÃO")</f>
        <v>0.04</v>
      </c>
      <c r="B825" s="7">
        <v>1501</v>
      </c>
      <c r="C825" s="7" t="s">
        <v>899</v>
      </c>
      <c r="D825" s="7" t="s">
        <v>63</v>
      </c>
      <c r="E825" s="7" t="s">
        <v>898</v>
      </c>
      <c r="F825" s="15">
        <f>[2]!Tabela15[[#This Row],[Preço PIS/Cofins/ICMS]]*1.1</f>
        <v>7.3590000000000009</v>
      </c>
      <c r="G825" s="10"/>
    </row>
    <row r="826" spans="1:7" ht="15" customHeight="1" x14ac:dyDescent="0.25">
      <c r="A826">
        <f>IFERROR(VLOOKUP(Tabela15[[#This Row],[Produto]],[1]Planilha1!$K$3:$N$300,4,0),"NÃO")</f>
        <v>0.04</v>
      </c>
      <c r="B826" s="7">
        <v>1502</v>
      </c>
      <c r="C826" s="7" t="s">
        <v>900</v>
      </c>
      <c r="D826" s="7" t="s">
        <v>63</v>
      </c>
      <c r="E826" s="7" t="s">
        <v>898</v>
      </c>
      <c r="F826" s="15">
        <f>[2]!Tabela15[[#This Row],[Preço PIS/Cofins/ICMS]]*1.1</f>
        <v>7.7880000000000011</v>
      </c>
      <c r="G826" s="10"/>
    </row>
    <row r="827" spans="1:7" ht="15" customHeight="1" x14ac:dyDescent="0.25">
      <c r="A827">
        <f>IFERROR(VLOOKUP(Tabela15[[#This Row],[Produto]],[1]Planilha1!$K$3:$N$300,4,0),"NÃO")</f>
        <v>0.04</v>
      </c>
      <c r="B827" s="7">
        <v>1503</v>
      </c>
      <c r="C827" s="7" t="s">
        <v>901</v>
      </c>
      <c r="D827" s="7" t="s">
        <v>63</v>
      </c>
      <c r="E827" s="7" t="s">
        <v>898</v>
      </c>
      <c r="F827" s="15">
        <f>[2]!Tabela15[[#This Row],[Preço PIS/Cofins/ICMS]]*1.1</f>
        <v>9.7900000000000009</v>
      </c>
      <c r="G827" s="10"/>
    </row>
    <row r="828" spans="1:7" ht="15" customHeight="1" x14ac:dyDescent="0.25">
      <c r="A828">
        <f>IFERROR(VLOOKUP(Tabela15[[#This Row],[Produto]],[1]Planilha1!$K$3:$N$300,4,0),"NÃO")</f>
        <v>0.04</v>
      </c>
      <c r="B828" s="7">
        <v>1504</v>
      </c>
      <c r="C828" s="7" t="s">
        <v>902</v>
      </c>
      <c r="D828" s="7" t="s">
        <v>63</v>
      </c>
      <c r="E828" s="7" t="s">
        <v>898</v>
      </c>
      <c r="F828" s="15">
        <f>[2]!Tabela15[[#This Row],[Preço PIS/Cofins/ICMS]]*1.1</f>
        <v>16.709</v>
      </c>
      <c r="G828" s="10"/>
    </row>
    <row r="829" spans="1:7" ht="15" customHeight="1" x14ac:dyDescent="0.25">
      <c r="A829">
        <f>IFERROR(VLOOKUP(Tabela15[[#This Row],[Produto]],[1]Planilha1!$K$3:$N$300,4,0),"NÃO")</f>
        <v>0.04</v>
      </c>
      <c r="B829" s="7">
        <v>1505</v>
      </c>
      <c r="C829" s="7" t="s">
        <v>903</v>
      </c>
      <c r="D829" s="7" t="s">
        <v>63</v>
      </c>
      <c r="E829" s="7" t="s">
        <v>898</v>
      </c>
      <c r="F829" s="15">
        <f>[2]!Tabela15[[#This Row],[Preço PIS/Cofins/ICMS]]*1.1</f>
        <v>13.541000000000002</v>
      </c>
      <c r="G829" s="10"/>
    </row>
    <row r="830" spans="1:7" ht="15" customHeight="1" x14ac:dyDescent="0.25">
      <c r="A830">
        <f>IFERROR(VLOOKUP(Tabela15[[#This Row],[Produto]],[1]Planilha1!$K$3:$N$300,4,0),"NÃO")</f>
        <v>0.04</v>
      </c>
      <c r="B830" s="7">
        <v>1506</v>
      </c>
      <c r="C830" s="7" t="s">
        <v>904</v>
      </c>
      <c r="D830" s="7" t="s">
        <v>63</v>
      </c>
      <c r="E830" s="7" t="s">
        <v>898</v>
      </c>
      <c r="F830" s="15">
        <f>[2]!Tabela15[[#This Row],[Preço PIS/Cofins/ICMS]]*1.1</f>
        <v>53.438000000000002</v>
      </c>
      <c r="G830" s="10"/>
    </row>
    <row r="831" spans="1:7" ht="15" customHeight="1" x14ac:dyDescent="0.25">
      <c r="A831">
        <f>IFERROR(VLOOKUP(Tabela15[[#This Row],[Produto]],[1]Planilha1!$K$3:$N$300,4,0),"NÃO")</f>
        <v>0.04</v>
      </c>
      <c r="B831" s="7">
        <v>1507</v>
      </c>
      <c r="C831" s="7" t="s">
        <v>905</v>
      </c>
      <c r="D831" s="7" t="s">
        <v>63</v>
      </c>
      <c r="E831" s="7" t="s">
        <v>898</v>
      </c>
      <c r="F831" s="15">
        <f>[2]!Tabela15[[#This Row],[Preço PIS/Cofins/ICMS]]*1.1</f>
        <v>66.748000000000005</v>
      </c>
      <c r="G831" s="10"/>
    </row>
    <row r="832" spans="1:7" ht="15" customHeight="1" x14ac:dyDescent="0.25">
      <c r="A832">
        <f>IFERROR(VLOOKUP(Tabela15[[#This Row],[Produto]],[1]Planilha1!$K$3:$N$300,4,0),"NÃO")</f>
        <v>0.04</v>
      </c>
      <c r="B832" s="7">
        <v>1508</v>
      </c>
      <c r="C832" s="7" t="s">
        <v>906</v>
      </c>
      <c r="D832" s="7" t="s">
        <v>63</v>
      </c>
      <c r="E832" s="7" t="s">
        <v>898</v>
      </c>
      <c r="F832" s="15">
        <f>[2]!Tabela15[[#This Row],[Preço PIS/Cofins/ICMS]]*1.1</f>
        <v>100.122</v>
      </c>
      <c r="G832" s="10"/>
    </row>
    <row r="833" spans="1:7" ht="15" customHeight="1" x14ac:dyDescent="0.25">
      <c r="A833">
        <f>IFERROR(VLOOKUP(Tabela15[[#This Row],[Produto]],[1]Planilha1!$K$3:$N$300,4,0),"NÃO")</f>
        <v>0.04</v>
      </c>
      <c r="B833" s="7">
        <v>1509</v>
      </c>
      <c r="C833" s="7" t="s">
        <v>907</v>
      </c>
      <c r="D833" s="7" t="s">
        <v>63</v>
      </c>
      <c r="E833" s="7" t="s">
        <v>898</v>
      </c>
      <c r="F833" s="15">
        <f>[2]!Tabela15[[#This Row],[Preço PIS/Cofins/ICMS]]*1.1</f>
        <v>174.28400000000002</v>
      </c>
      <c r="G833" s="10"/>
    </row>
    <row r="834" spans="1:7" ht="15" customHeight="1" x14ac:dyDescent="0.25">
      <c r="A834">
        <f>IFERROR(VLOOKUP(Tabela15[[#This Row],[Produto]],[1]Planilha1!$K$3:$N$300,4,0),"NÃO")</f>
        <v>0.04</v>
      </c>
      <c r="B834" s="7">
        <v>1510</v>
      </c>
      <c r="C834" s="7" t="s">
        <v>908</v>
      </c>
      <c r="D834" s="7" t="s">
        <v>63</v>
      </c>
      <c r="E834" s="7" t="s">
        <v>898</v>
      </c>
      <c r="F834" s="15">
        <f>[2]!Tabela15[[#This Row],[Preço PIS/Cofins/ICMS]]*1.1</f>
        <v>253.38500000000002</v>
      </c>
      <c r="G834" s="10"/>
    </row>
    <row r="835" spans="1:7" ht="15" customHeight="1" x14ac:dyDescent="0.25">
      <c r="A835">
        <f>IFERROR(VLOOKUP(Tabela15[[#This Row],[Produto]],[1]Planilha1!$K$3:$N$300,4,0),"NÃO")</f>
        <v>0.04</v>
      </c>
      <c r="B835" s="7">
        <v>1512</v>
      </c>
      <c r="C835" s="7" t="s">
        <v>909</v>
      </c>
      <c r="D835" s="7" t="s">
        <v>63</v>
      </c>
      <c r="E835" s="7" t="s">
        <v>898</v>
      </c>
      <c r="F835" s="15">
        <f>[2]!Tabela15[[#This Row],[Preço PIS/Cofins/ICMS]]*1.1</f>
        <v>8.6790000000000003</v>
      </c>
      <c r="G835" s="10"/>
    </row>
    <row r="836" spans="1:7" ht="15" customHeight="1" x14ac:dyDescent="0.25">
      <c r="A836">
        <f>IFERROR(VLOOKUP(Tabela15[[#This Row],[Produto]],[1]Planilha1!$K$3:$N$300,4,0),"NÃO")</f>
        <v>0.04</v>
      </c>
      <c r="B836" s="7">
        <v>1513</v>
      </c>
      <c r="C836" s="7" t="s">
        <v>910</v>
      </c>
      <c r="D836" s="7" t="s">
        <v>63</v>
      </c>
      <c r="E836" s="7" t="s">
        <v>898</v>
      </c>
      <c r="F836" s="15">
        <f>[2]!Tabela15[[#This Row],[Preço PIS/Cofins/ICMS]]*1.1</f>
        <v>10.856999999999999</v>
      </c>
      <c r="G836" s="10"/>
    </row>
    <row r="837" spans="1:7" ht="15" customHeight="1" x14ac:dyDescent="0.25">
      <c r="A837">
        <f>IFERROR(VLOOKUP(Tabela15[[#This Row],[Produto]],[1]Planilha1!$K$3:$N$300,4,0),"NÃO")</f>
        <v>0.04</v>
      </c>
      <c r="B837" s="7">
        <v>1514</v>
      </c>
      <c r="C837" s="7" t="s">
        <v>911</v>
      </c>
      <c r="D837" s="7" t="s">
        <v>63</v>
      </c>
      <c r="E837" s="7" t="s">
        <v>898</v>
      </c>
      <c r="F837" s="15">
        <f>[2]!Tabela15[[#This Row],[Preço PIS/Cofins/ICMS]]*1.1</f>
        <v>10.362</v>
      </c>
      <c r="G837" s="10"/>
    </row>
    <row r="838" spans="1:7" ht="15" customHeight="1" x14ac:dyDescent="0.25">
      <c r="A838">
        <f>IFERROR(VLOOKUP(Tabela15[[#This Row],[Produto]],[1]Planilha1!$K$3:$N$300,4,0),"NÃO")</f>
        <v>0.04</v>
      </c>
      <c r="B838" s="7">
        <v>1515</v>
      </c>
      <c r="C838" s="7" t="s">
        <v>912</v>
      </c>
      <c r="D838" s="7" t="s">
        <v>63</v>
      </c>
      <c r="E838" s="7" t="s">
        <v>898</v>
      </c>
      <c r="F838" s="15">
        <f>[2]!Tabela15[[#This Row],[Preço PIS/Cofins/ICMS]]*1.1</f>
        <v>12.441000000000001</v>
      </c>
      <c r="G838" s="10"/>
    </row>
    <row r="839" spans="1:7" ht="15" customHeight="1" x14ac:dyDescent="0.25">
      <c r="A839">
        <f>IFERROR(VLOOKUP(Tabela15[[#This Row],[Produto]],[1]Planilha1!$K$3:$N$300,4,0),"NÃO")</f>
        <v>0.04</v>
      </c>
      <c r="B839" s="7">
        <v>1516</v>
      </c>
      <c r="C839" s="7" t="s">
        <v>913</v>
      </c>
      <c r="D839" s="7" t="s">
        <v>63</v>
      </c>
      <c r="E839" s="7" t="s">
        <v>898</v>
      </c>
      <c r="F839" s="15">
        <f>[2]!Tabela15[[#This Row],[Preço PIS/Cofins/ICMS]]*1.1</f>
        <v>17.138000000000002</v>
      </c>
      <c r="G839" s="10"/>
    </row>
    <row r="840" spans="1:7" ht="15" customHeight="1" x14ac:dyDescent="0.25">
      <c r="A840">
        <f>IFERROR(VLOOKUP(Tabela15[[#This Row],[Produto]],[1]Planilha1!$K$3:$N$300,4,0),"NÃO")</f>
        <v>0.04</v>
      </c>
      <c r="B840" s="7">
        <v>1517</v>
      </c>
      <c r="C840" s="7" t="s">
        <v>914</v>
      </c>
      <c r="D840" s="7" t="s">
        <v>63</v>
      </c>
      <c r="E840" s="7" t="s">
        <v>898</v>
      </c>
      <c r="F840" s="15">
        <f>[2]!Tabela15[[#This Row],[Preço PIS/Cofins/ICMS]]*1.1</f>
        <v>18.469000000000001</v>
      </c>
      <c r="G840" s="10"/>
    </row>
    <row r="841" spans="1:7" ht="15" customHeight="1" x14ac:dyDescent="0.25">
      <c r="A841">
        <f>IFERROR(VLOOKUP(Tabela15[[#This Row],[Produto]],[1]Planilha1!$K$3:$N$300,4,0),"NÃO")</f>
        <v>0.04</v>
      </c>
      <c r="B841" s="7">
        <v>1518</v>
      </c>
      <c r="C841" s="7" t="s">
        <v>915</v>
      </c>
      <c r="D841" s="7" t="s">
        <v>63</v>
      </c>
      <c r="E841" s="7" t="s">
        <v>898</v>
      </c>
      <c r="F841" s="15">
        <f>[2]!Tabela15[[#This Row],[Preço PIS/Cofins/ICMS]]*1.1</f>
        <v>54.692</v>
      </c>
      <c r="G841" s="10"/>
    </row>
    <row r="842" spans="1:7" ht="15" customHeight="1" x14ac:dyDescent="0.25">
      <c r="A842">
        <f>IFERROR(VLOOKUP(Tabela15[[#This Row],[Produto]],[1]Planilha1!$K$3:$N$300,4,0),"NÃO")</f>
        <v>0.04</v>
      </c>
      <c r="B842" s="7">
        <v>1519</v>
      </c>
      <c r="C842" s="7" t="s">
        <v>916</v>
      </c>
      <c r="D842" s="7" t="s">
        <v>63</v>
      </c>
      <c r="E842" s="7" t="s">
        <v>898</v>
      </c>
      <c r="F842" s="15">
        <f>[2]!Tabela15[[#This Row],[Preço PIS/Cofins/ICMS]]*1.1</f>
        <v>61.545000000000009</v>
      </c>
      <c r="G842" s="10"/>
    </row>
    <row r="843" spans="1:7" ht="15" customHeight="1" x14ac:dyDescent="0.25">
      <c r="A843">
        <f>IFERROR(VLOOKUP(Tabela15[[#This Row],[Produto]],[1]Planilha1!$K$3:$N$300,4,0),"NÃO")</f>
        <v>0.04</v>
      </c>
      <c r="B843" s="7">
        <v>1520</v>
      </c>
      <c r="C843" s="7" t="s">
        <v>917</v>
      </c>
      <c r="D843" s="7" t="s">
        <v>63</v>
      </c>
      <c r="E843" s="7" t="s">
        <v>898</v>
      </c>
      <c r="F843" s="15">
        <f>[2]!Tabela15[[#This Row],[Preço PIS/Cofins/ICMS]]*1.1</f>
        <v>103.587</v>
      </c>
      <c r="G843" s="10"/>
    </row>
    <row r="844" spans="1:7" ht="15" customHeight="1" x14ac:dyDescent="0.25">
      <c r="A844">
        <f>IFERROR(VLOOKUP(Tabela15[[#This Row],[Produto]],[1]Planilha1!$K$3:$N$300,4,0),"NÃO")</f>
        <v>0.04</v>
      </c>
      <c r="B844" s="7">
        <v>1521</v>
      </c>
      <c r="C844" s="7" t="s">
        <v>918</v>
      </c>
      <c r="D844" s="7" t="s">
        <v>63</v>
      </c>
      <c r="E844" s="7" t="s">
        <v>898</v>
      </c>
      <c r="F844" s="15">
        <f>[2]!Tabela15[[#This Row],[Preço PIS/Cofins/ICMS]]*1.1</f>
        <v>192.69800000000004</v>
      </c>
      <c r="G844" s="10"/>
    </row>
    <row r="845" spans="1:7" ht="15" customHeight="1" x14ac:dyDescent="0.25">
      <c r="A845">
        <f>IFERROR(VLOOKUP(Tabela15[[#This Row],[Produto]],[1]Planilha1!$K$3:$N$300,4,0),"NÃO")</f>
        <v>0.04</v>
      </c>
      <c r="B845" s="7">
        <v>1522</v>
      </c>
      <c r="C845" s="7" t="s">
        <v>919</v>
      </c>
      <c r="D845" s="7" t="s">
        <v>63</v>
      </c>
      <c r="E845" s="7" t="s">
        <v>898</v>
      </c>
      <c r="F845" s="15">
        <f>[2]!Tabela15[[#This Row],[Preço PIS/Cofins/ICMS]]*1.1</f>
        <v>289.91600000000005</v>
      </c>
      <c r="G845" s="10"/>
    </row>
    <row r="846" spans="1:7" ht="15" customHeight="1" x14ac:dyDescent="0.25">
      <c r="A846">
        <f>IFERROR(VLOOKUP(Tabela15[[#This Row],[Produto]],[1]Planilha1!$K$3:$N$300,4,0),"NÃO")</f>
        <v>0.04</v>
      </c>
      <c r="B846" s="7">
        <v>1524</v>
      </c>
      <c r="C846" s="7" t="s">
        <v>920</v>
      </c>
      <c r="D846" s="7" t="s">
        <v>63</v>
      </c>
      <c r="E846" s="7" t="s">
        <v>898</v>
      </c>
      <c r="F846" s="15">
        <f>[2]!Tabela15[[#This Row],[Preço PIS/Cofins/ICMS]]*1.1</f>
        <v>2.0680000000000001</v>
      </c>
      <c r="G846" s="10"/>
    </row>
    <row r="847" spans="1:7" ht="15" customHeight="1" x14ac:dyDescent="0.25">
      <c r="A847">
        <f>IFERROR(VLOOKUP(Tabela15[[#This Row],[Produto]],[1]Planilha1!$K$3:$N$300,4,0),"NÃO")</f>
        <v>0.04</v>
      </c>
      <c r="B847" s="7">
        <v>1525</v>
      </c>
      <c r="C847" s="7" t="s">
        <v>921</v>
      </c>
      <c r="D847" s="7" t="s">
        <v>63</v>
      </c>
      <c r="E847" s="7" t="s">
        <v>898</v>
      </c>
      <c r="F847" s="15">
        <f>[2]!Tabela15[[#This Row],[Preço PIS/Cofins/ICMS]]*1.1</f>
        <v>3.08</v>
      </c>
      <c r="G847" s="10"/>
    </row>
    <row r="848" spans="1:7" ht="15" customHeight="1" x14ac:dyDescent="0.25">
      <c r="A848">
        <f>IFERROR(VLOOKUP(Tabela15[[#This Row],[Produto]],[1]Planilha1!$K$3:$N$300,4,0),"NÃO")</f>
        <v>0.04</v>
      </c>
      <c r="B848" s="7">
        <v>1526</v>
      </c>
      <c r="C848" s="7" t="s">
        <v>922</v>
      </c>
      <c r="D848" s="7" t="s">
        <v>63</v>
      </c>
      <c r="E848" s="7" t="s">
        <v>898</v>
      </c>
      <c r="F848" s="15">
        <f>[2]!Tabela15[[#This Row],[Preço PIS/Cofins/ICMS]]*1.1</f>
        <v>2.9810000000000003</v>
      </c>
      <c r="G848" s="10"/>
    </row>
    <row r="849" spans="1:7" ht="15" customHeight="1" x14ac:dyDescent="0.25">
      <c r="A849">
        <f>IFERROR(VLOOKUP(Tabela15[[#This Row],[Produto]],[1]Planilha1!$K$3:$N$300,4,0),"NÃO")</f>
        <v>0.04</v>
      </c>
      <c r="B849" s="7">
        <v>1527</v>
      </c>
      <c r="C849" s="7" t="s">
        <v>923</v>
      </c>
      <c r="D849" s="7" t="s">
        <v>63</v>
      </c>
      <c r="E849" s="7" t="s">
        <v>898</v>
      </c>
      <c r="F849" s="15">
        <f>[2]!Tabela15[[#This Row],[Preço PIS/Cofins/ICMS]]*1.1</f>
        <v>6.3470000000000004</v>
      </c>
      <c r="G849" s="10"/>
    </row>
    <row r="850" spans="1:7" ht="15" customHeight="1" x14ac:dyDescent="0.25">
      <c r="A850">
        <f>IFERROR(VLOOKUP(Tabela15[[#This Row],[Produto]],[1]Planilha1!$K$3:$N$300,4,0),"NÃO")</f>
        <v>0.04</v>
      </c>
      <c r="B850" s="7">
        <v>1528</v>
      </c>
      <c r="C850" s="7" t="s">
        <v>924</v>
      </c>
      <c r="D850" s="7" t="s">
        <v>63</v>
      </c>
      <c r="E850" s="7" t="s">
        <v>898</v>
      </c>
      <c r="F850" s="15">
        <f>[2]!Tabela15[[#This Row],[Preço PIS/Cofins/ICMS]]*1.1</f>
        <v>6.5230000000000006</v>
      </c>
      <c r="G850" s="10"/>
    </row>
    <row r="851" spans="1:7" ht="15" customHeight="1" x14ac:dyDescent="0.25">
      <c r="A851">
        <f>IFERROR(VLOOKUP(Tabela15[[#This Row],[Produto]],[1]Planilha1!$K$3:$N$300,4,0),"NÃO")</f>
        <v>0.04</v>
      </c>
      <c r="B851" s="7">
        <v>1529</v>
      </c>
      <c r="C851" s="7" t="s">
        <v>925</v>
      </c>
      <c r="D851" s="7" t="s">
        <v>63</v>
      </c>
      <c r="E851" s="7" t="s">
        <v>898</v>
      </c>
      <c r="F851" s="15">
        <f>[2]!Tabela15[[#This Row],[Preço PIS/Cofins/ICMS]]*1.1</f>
        <v>13.541000000000002</v>
      </c>
      <c r="G851" s="10"/>
    </row>
    <row r="852" spans="1:7" ht="15" customHeight="1" x14ac:dyDescent="0.25">
      <c r="A852">
        <f>IFERROR(VLOOKUP(Tabela15[[#This Row],[Produto]],[1]Planilha1!$K$3:$N$300,4,0),"NÃO")</f>
        <v>0.04</v>
      </c>
      <c r="B852" s="7">
        <v>1530</v>
      </c>
      <c r="C852" s="7" t="s">
        <v>926</v>
      </c>
      <c r="D852" s="7" t="s">
        <v>63</v>
      </c>
      <c r="E852" s="7" t="s">
        <v>898</v>
      </c>
      <c r="F852" s="15">
        <f>[2]!Tabela15[[#This Row],[Preço PIS/Cofins/ICMS]]*1.1</f>
        <v>8.7890000000000015</v>
      </c>
      <c r="G852" s="10"/>
    </row>
    <row r="853" spans="1:7" ht="15" customHeight="1" x14ac:dyDescent="0.25">
      <c r="A853">
        <f>IFERROR(VLOOKUP(Tabela15[[#This Row],[Produto]],[1]Planilha1!$K$3:$N$300,4,0),"NÃO")</f>
        <v>0.04</v>
      </c>
      <c r="B853" s="7">
        <v>1531</v>
      </c>
      <c r="C853" s="7" t="s">
        <v>927</v>
      </c>
      <c r="D853" s="7" t="s">
        <v>63</v>
      </c>
      <c r="E853" s="7" t="s">
        <v>898</v>
      </c>
      <c r="F853" s="15">
        <f>[2]!Tabela15[[#This Row],[Preço PIS/Cofins/ICMS]]*1.1</f>
        <v>7.2490000000000006</v>
      </c>
      <c r="G853" s="10"/>
    </row>
    <row r="854" spans="1:7" ht="15" customHeight="1" x14ac:dyDescent="0.25">
      <c r="A854">
        <f>IFERROR(VLOOKUP(Tabela15[[#This Row],[Produto]],[1]Planilha1!$K$3:$N$300,4,0),"NÃO")</f>
        <v>0.04</v>
      </c>
      <c r="B854" s="7">
        <v>1532</v>
      </c>
      <c r="C854" s="7" t="s">
        <v>928</v>
      </c>
      <c r="D854" s="7" t="s">
        <v>63</v>
      </c>
      <c r="E854" s="7" t="s">
        <v>898</v>
      </c>
      <c r="F854" s="15">
        <f>[2]!Tabela15[[#This Row],[Preço PIS/Cofins/ICMS]]*1.1</f>
        <v>17.248000000000001</v>
      </c>
      <c r="G854" s="10"/>
    </row>
    <row r="855" spans="1:7" ht="15" customHeight="1" x14ac:dyDescent="0.25">
      <c r="A855">
        <f>IFERROR(VLOOKUP(Tabela15[[#This Row],[Produto]],[1]Planilha1!$K$3:$N$300,4,0),"NÃO")</f>
        <v>0.04</v>
      </c>
      <c r="B855" s="7">
        <v>1533</v>
      </c>
      <c r="C855" s="7" t="s">
        <v>929</v>
      </c>
      <c r="D855" s="7" t="s">
        <v>63</v>
      </c>
      <c r="E855" s="7" t="s">
        <v>898</v>
      </c>
      <c r="F855" s="15">
        <f>[2]!Tabela15[[#This Row],[Preço PIS/Cofins/ICMS]]*1.1</f>
        <v>16.753</v>
      </c>
      <c r="G855" s="10"/>
    </row>
    <row r="856" spans="1:7" ht="15" customHeight="1" x14ac:dyDescent="0.25">
      <c r="A856">
        <f>IFERROR(VLOOKUP(Tabela15[[#This Row],[Produto]],[1]Planilha1!$K$3:$N$300,4,0),"NÃO")</f>
        <v>0.04</v>
      </c>
      <c r="B856" s="7">
        <v>1534</v>
      </c>
      <c r="C856" s="7" t="s">
        <v>930</v>
      </c>
      <c r="D856" s="7" t="s">
        <v>63</v>
      </c>
      <c r="E856" s="7" t="s">
        <v>898</v>
      </c>
      <c r="F856" s="15">
        <f>[2]!Tabela15[[#This Row],[Preço PIS/Cofins/ICMS]]*1.1</f>
        <v>25.058000000000003</v>
      </c>
      <c r="G856" s="10"/>
    </row>
    <row r="857" spans="1:7" ht="15" customHeight="1" x14ac:dyDescent="0.25">
      <c r="A857">
        <f>IFERROR(VLOOKUP(Tabela15[[#This Row],[Produto]],[1]Planilha1!$K$3:$N$300,4,0),"NÃO")</f>
        <v>0.04</v>
      </c>
      <c r="B857" s="7">
        <v>1535</v>
      </c>
      <c r="C857" s="7" t="s">
        <v>931</v>
      </c>
      <c r="D857" s="7" t="s">
        <v>63</v>
      </c>
      <c r="E857" s="7" t="s">
        <v>898</v>
      </c>
      <c r="F857" s="15">
        <f>[2]!Tabela15[[#This Row],[Preço PIS/Cofins/ICMS]]*1.1</f>
        <v>25.509000000000004</v>
      </c>
      <c r="G857" s="10"/>
    </row>
    <row r="858" spans="1:7" ht="15" customHeight="1" x14ac:dyDescent="0.25">
      <c r="A858">
        <f>IFERROR(VLOOKUP(Tabela15[[#This Row],[Produto]],[1]Planilha1!$K$3:$N$300,4,0),"NÃO")</f>
        <v>0.04</v>
      </c>
      <c r="B858" s="7">
        <v>1536</v>
      </c>
      <c r="C858" s="7" t="s">
        <v>932</v>
      </c>
      <c r="D858" s="7" t="s">
        <v>63</v>
      </c>
      <c r="E858" s="7" t="s">
        <v>898</v>
      </c>
      <c r="F858" s="15">
        <f>[2]!Tabela15[[#This Row],[Preço PIS/Cofins/ICMS]]*1.1</f>
        <v>37.609000000000002</v>
      </c>
      <c r="G858" s="10"/>
    </row>
    <row r="859" spans="1:7" ht="15" customHeight="1" x14ac:dyDescent="0.25">
      <c r="A859">
        <f>IFERROR(VLOOKUP(Tabela15[[#This Row],[Produto]],[1]Planilha1!$K$3:$N$300,4,0),"NÃO")</f>
        <v>0.04</v>
      </c>
      <c r="B859" s="7">
        <v>1537</v>
      </c>
      <c r="C859" s="7" t="s">
        <v>933</v>
      </c>
      <c r="D859" s="7" t="s">
        <v>63</v>
      </c>
      <c r="E859" s="7" t="s">
        <v>898</v>
      </c>
      <c r="F859" s="15">
        <f>[2]!Tabela15[[#This Row],[Preço PIS/Cofins/ICMS]]*1.1</f>
        <v>37.708000000000006</v>
      </c>
      <c r="G859" s="10"/>
    </row>
    <row r="860" spans="1:7" ht="15" customHeight="1" x14ac:dyDescent="0.25">
      <c r="A860">
        <f>IFERROR(VLOOKUP(Tabela15[[#This Row],[Produto]],[1]Planilha1!$K$3:$N$300,4,0),"NÃO")</f>
        <v>0.04</v>
      </c>
      <c r="B860" s="7">
        <v>1538</v>
      </c>
      <c r="C860" s="7" t="s">
        <v>934</v>
      </c>
      <c r="D860" s="7" t="s">
        <v>63</v>
      </c>
      <c r="E860" s="7" t="s">
        <v>898</v>
      </c>
      <c r="F860" s="15">
        <f>[2]!Tabela15[[#This Row],[Preço PIS/Cofins/ICMS]]*1.1</f>
        <v>121.09900000000002</v>
      </c>
      <c r="G860" s="10"/>
    </row>
    <row r="861" spans="1:7" ht="15" customHeight="1" x14ac:dyDescent="0.25">
      <c r="A861">
        <f>IFERROR(VLOOKUP(Tabela15[[#This Row],[Produto]],[1]Planilha1!$K$3:$N$300,4,0),"NÃO")</f>
        <v>0.04</v>
      </c>
      <c r="B861" s="7">
        <v>1539</v>
      </c>
      <c r="C861" s="7" t="s">
        <v>935</v>
      </c>
      <c r="D861" s="7" t="s">
        <v>63</v>
      </c>
      <c r="E861" s="7" t="s">
        <v>898</v>
      </c>
      <c r="F861" s="15">
        <f>[2]!Tabela15[[#This Row],[Preço PIS/Cofins/ICMS]]*1.1</f>
        <v>123.28800000000001</v>
      </c>
      <c r="G861" s="10"/>
    </row>
    <row r="862" spans="1:7" ht="15" customHeight="1" x14ac:dyDescent="0.25">
      <c r="A862">
        <f>IFERROR(VLOOKUP(Tabela15[[#This Row],[Produto]],[1]Planilha1!$K$3:$N$300,4,0),"NÃO")</f>
        <v>0.04</v>
      </c>
      <c r="B862" s="7">
        <v>1540</v>
      </c>
      <c r="C862" s="7" t="s">
        <v>936</v>
      </c>
      <c r="D862" s="7" t="s">
        <v>63</v>
      </c>
      <c r="E862" s="7" t="s">
        <v>898</v>
      </c>
      <c r="F862" s="15">
        <f>[2]!Tabela15[[#This Row],[Preço PIS/Cofins/ICMS]]*1.1</f>
        <v>1.1880000000000002</v>
      </c>
      <c r="G862" s="10"/>
    </row>
    <row r="863" spans="1:7" ht="15" customHeight="1" x14ac:dyDescent="0.25">
      <c r="A863">
        <f>IFERROR(VLOOKUP(Tabela15[[#This Row],[Produto]],[1]Planilha1!$K$3:$N$300,4,0),"NÃO")</f>
        <v>0.04</v>
      </c>
      <c r="B863" s="7">
        <v>1541</v>
      </c>
      <c r="C863" s="7" t="s">
        <v>937</v>
      </c>
      <c r="D863" s="7" t="s">
        <v>63</v>
      </c>
      <c r="E863" s="7" t="s">
        <v>898</v>
      </c>
      <c r="F863" s="15">
        <f>[2]!Tabela15[[#This Row],[Preço PIS/Cofins/ICMS]]*1.1</f>
        <v>2.1339999999999999</v>
      </c>
      <c r="G863" s="10"/>
    </row>
    <row r="864" spans="1:7" ht="15" customHeight="1" x14ac:dyDescent="0.25">
      <c r="A864">
        <f>IFERROR(VLOOKUP(Tabela15[[#This Row],[Produto]],[1]Planilha1!$K$3:$N$300,4,0),"NÃO")</f>
        <v>0.04</v>
      </c>
      <c r="B864" s="7">
        <v>1542</v>
      </c>
      <c r="C864" s="7" t="s">
        <v>938</v>
      </c>
      <c r="D864" s="7" t="s">
        <v>63</v>
      </c>
      <c r="E864" s="7" t="s">
        <v>898</v>
      </c>
      <c r="F864" s="15">
        <f>[2]!Tabela15[[#This Row],[Preço PIS/Cofins/ICMS]]*1.1</f>
        <v>2.827</v>
      </c>
      <c r="G864" s="10"/>
    </row>
    <row r="865" spans="1:7" ht="15" customHeight="1" x14ac:dyDescent="0.25">
      <c r="A865">
        <f>IFERROR(VLOOKUP(Tabela15[[#This Row],[Produto]],[1]Planilha1!$K$3:$N$300,4,0),"NÃO")</f>
        <v>0.04</v>
      </c>
      <c r="B865" s="7">
        <v>1543</v>
      </c>
      <c r="C865" s="7" t="s">
        <v>939</v>
      </c>
      <c r="D865" s="7" t="s">
        <v>63</v>
      </c>
      <c r="E865" s="7" t="s">
        <v>898</v>
      </c>
      <c r="F865" s="15">
        <f>[2]!Tabela15[[#This Row],[Preço PIS/Cofins/ICMS]]*1.1</f>
        <v>5.5659999999999998</v>
      </c>
      <c r="G865" s="10"/>
    </row>
    <row r="866" spans="1:7" ht="15" customHeight="1" x14ac:dyDescent="0.25">
      <c r="A866">
        <f>IFERROR(VLOOKUP(Tabela15[[#This Row],[Produto]],[1]Planilha1!$K$3:$N$300,4,0),"NÃO")</f>
        <v>0.04</v>
      </c>
      <c r="B866" s="7">
        <v>1544</v>
      </c>
      <c r="C866" s="7" t="s">
        <v>940</v>
      </c>
      <c r="D866" s="7" t="s">
        <v>63</v>
      </c>
      <c r="E866" s="7" t="s">
        <v>898</v>
      </c>
      <c r="F866" s="15">
        <f>[2]!Tabela15[[#This Row],[Preço PIS/Cofins/ICMS]]*1.1</f>
        <v>8.338000000000001</v>
      </c>
      <c r="G866" s="10"/>
    </row>
    <row r="867" spans="1:7" ht="15" customHeight="1" x14ac:dyDescent="0.25">
      <c r="A867">
        <f>IFERROR(VLOOKUP(Tabela15[[#This Row],[Produto]],[1]Planilha1!$K$3:$N$300,4,0),"NÃO")</f>
        <v>0.04</v>
      </c>
      <c r="B867" s="7">
        <v>1545</v>
      </c>
      <c r="C867" s="7" t="s">
        <v>941</v>
      </c>
      <c r="D867" s="7" t="s">
        <v>63</v>
      </c>
      <c r="E867" s="7" t="s">
        <v>898</v>
      </c>
      <c r="F867" s="15">
        <f>[2]!Tabela15[[#This Row],[Preço PIS/Cofins/ICMS]]*1.1</f>
        <v>14.542000000000002</v>
      </c>
      <c r="G867" s="10"/>
    </row>
    <row r="868" spans="1:7" ht="15" customHeight="1" x14ac:dyDescent="0.25">
      <c r="A868">
        <f>IFERROR(VLOOKUP(Tabela15[[#This Row],[Produto]],[1]Planilha1!$K$3:$N$300,4,0),"NÃO")</f>
        <v>0.04</v>
      </c>
      <c r="B868" s="7">
        <v>1546</v>
      </c>
      <c r="C868" s="7" t="s">
        <v>942</v>
      </c>
      <c r="D868" s="7" t="s">
        <v>63</v>
      </c>
      <c r="E868" s="7" t="s">
        <v>898</v>
      </c>
      <c r="F868" s="15">
        <f>[2]!Tabela15[[#This Row],[Preço PIS/Cofins/ICMS]]*1.1</f>
        <v>20.559000000000005</v>
      </c>
      <c r="G868" s="10"/>
    </row>
    <row r="869" spans="1:7" ht="15" customHeight="1" x14ac:dyDescent="0.25">
      <c r="A869">
        <f>IFERROR(VLOOKUP(Tabela15[[#This Row],[Produto]],[1]Planilha1!$K$3:$N$300,4,0),"NÃO")</f>
        <v>0.04</v>
      </c>
      <c r="B869" s="7">
        <v>1547</v>
      </c>
      <c r="C869" s="7" t="s">
        <v>943</v>
      </c>
      <c r="D869" s="7" t="s">
        <v>63</v>
      </c>
      <c r="E869" s="7" t="s">
        <v>898</v>
      </c>
      <c r="F869" s="15">
        <f>[2]!Tabela15[[#This Row],[Preço PIS/Cofins/ICMS]]*1.1</f>
        <v>44.979000000000006</v>
      </c>
      <c r="G869" s="10"/>
    </row>
    <row r="870" spans="1:7" ht="15" customHeight="1" x14ac:dyDescent="0.25">
      <c r="A870">
        <f>IFERROR(VLOOKUP(Tabela15[[#This Row],[Produto]],[1]Planilha1!$K$3:$N$300,4,0),"NÃO")</f>
        <v>0.04</v>
      </c>
      <c r="B870" s="7">
        <v>1548</v>
      </c>
      <c r="C870" s="7" t="s">
        <v>944</v>
      </c>
      <c r="D870" s="7" t="s">
        <v>63</v>
      </c>
      <c r="E870" s="7" t="s">
        <v>898</v>
      </c>
      <c r="F870" s="15">
        <f>[2]!Tabela15[[#This Row],[Preço PIS/Cofins/ICMS]]*1.1</f>
        <v>88.440000000000012</v>
      </c>
      <c r="G870" s="10"/>
    </row>
    <row r="871" spans="1:7" ht="15" customHeight="1" x14ac:dyDescent="0.25">
      <c r="A871">
        <f>IFERROR(VLOOKUP(Tabela15[[#This Row],[Produto]],[1]Planilha1!$K$3:$N$300,4,0),"NÃO")</f>
        <v>0.04</v>
      </c>
      <c r="B871" s="7">
        <v>1549</v>
      </c>
      <c r="C871" s="7" t="s">
        <v>945</v>
      </c>
      <c r="D871" s="7" t="s">
        <v>63</v>
      </c>
      <c r="E871" s="7" t="s">
        <v>898</v>
      </c>
      <c r="F871" s="15">
        <f>[2]!Tabela15[[#This Row],[Preço PIS/Cofins/ICMS]]*1.1</f>
        <v>4.9390000000000009</v>
      </c>
      <c r="G871" s="10"/>
    </row>
    <row r="872" spans="1:7" ht="15" customHeight="1" x14ac:dyDescent="0.25">
      <c r="A872">
        <f>IFERROR(VLOOKUP(Tabela15[[#This Row],[Produto]],[1]Planilha1!$K$3:$N$300,4,0),"NÃO")</f>
        <v>0.04</v>
      </c>
      <c r="B872" s="7">
        <v>1550</v>
      </c>
      <c r="C872" s="7" t="s">
        <v>946</v>
      </c>
      <c r="D872" s="7" t="s">
        <v>63</v>
      </c>
      <c r="E872" s="7" t="s">
        <v>898</v>
      </c>
      <c r="F872" s="15">
        <f>[2]!Tabela15[[#This Row],[Preço PIS/Cofins/ICMS]]*1.1</f>
        <v>5.753000000000001</v>
      </c>
      <c r="G872" s="10"/>
    </row>
    <row r="873" spans="1:7" ht="15" customHeight="1" x14ac:dyDescent="0.25">
      <c r="A873">
        <f>IFERROR(VLOOKUP(Tabela15[[#This Row],[Produto]],[1]Planilha1!$K$3:$N$300,4,0),"NÃO")</f>
        <v>0.04</v>
      </c>
      <c r="B873" s="7">
        <v>1551</v>
      </c>
      <c r="C873" s="7" t="s">
        <v>947</v>
      </c>
      <c r="D873" s="7" t="s">
        <v>63</v>
      </c>
      <c r="E873" s="7" t="s">
        <v>898</v>
      </c>
      <c r="F873" s="15">
        <f>[2]!Tabela15[[#This Row],[Preço PIS/Cofins/ICMS]]*1.1</f>
        <v>16.907</v>
      </c>
      <c r="G873" s="10"/>
    </row>
    <row r="874" spans="1:7" ht="15" customHeight="1" x14ac:dyDescent="0.25">
      <c r="A874">
        <f>IFERROR(VLOOKUP(Tabela15[[#This Row],[Produto]],[1]Planilha1!$K$3:$N$300,4,0),"NÃO")</f>
        <v>0.04</v>
      </c>
      <c r="B874" s="7">
        <v>1552</v>
      </c>
      <c r="C874" s="7" t="s">
        <v>948</v>
      </c>
      <c r="D874" s="7" t="s">
        <v>63</v>
      </c>
      <c r="E874" s="7" t="s">
        <v>898</v>
      </c>
      <c r="F874" s="15">
        <f>[2]!Tabela15[[#This Row],[Preço PIS/Cofins/ICMS]]*1.1</f>
        <v>6.2700000000000005</v>
      </c>
      <c r="G874" s="10"/>
    </row>
    <row r="875" spans="1:7" ht="15" customHeight="1" x14ac:dyDescent="0.25">
      <c r="A875">
        <f>IFERROR(VLOOKUP(Tabela15[[#This Row],[Produto]],[1]Planilha1!$K$3:$N$300,4,0),"NÃO")</f>
        <v>0.04</v>
      </c>
      <c r="B875" s="7">
        <v>1553</v>
      </c>
      <c r="C875" s="7" t="s">
        <v>949</v>
      </c>
      <c r="D875" s="7" t="s">
        <v>63</v>
      </c>
      <c r="E875" s="7" t="s">
        <v>898</v>
      </c>
      <c r="F875" s="15">
        <f>[2]!Tabela15[[#This Row],[Preço PIS/Cofins/ICMS]]*1.1</f>
        <v>8.1289999999999996</v>
      </c>
      <c r="G875" s="10"/>
    </row>
    <row r="876" spans="1:7" ht="15" customHeight="1" x14ac:dyDescent="0.25">
      <c r="A876">
        <f>IFERROR(VLOOKUP(Tabela15[[#This Row],[Produto]],[1]Planilha1!$K$3:$N$300,4,0),"NÃO")</f>
        <v>0.04</v>
      </c>
      <c r="B876" s="7">
        <v>1554</v>
      </c>
      <c r="C876" s="7" t="s">
        <v>950</v>
      </c>
      <c r="D876" s="7" t="s">
        <v>63</v>
      </c>
      <c r="E876" s="7" t="s">
        <v>898</v>
      </c>
      <c r="F876" s="15">
        <f>[2]!Tabela15[[#This Row],[Preço PIS/Cofins/ICMS]]*1.1</f>
        <v>10.615000000000002</v>
      </c>
      <c r="G876" s="10"/>
    </row>
    <row r="877" spans="1:7" ht="15" customHeight="1" x14ac:dyDescent="0.25">
      <c r="A877">
        <f>IFERROR(VLOOKUP(Tabela15[[#This Row],[Produto]],[1]Planilha1!$K$3:$N$300,4,0),"NÃO")</f>
        <v>0.04</v>
      </c>
      <c r="B877" s="7">
        <v>1555</v>
      </c>
      <c r="C877" s="7" t="s">
        <v>951</v>
      </c>
      <c r="D877" s="7" t="s">
        <v>63</v>
      </c>
      <c r="E877" s="7" t="s">
        <v>898</v>
      </c>
      <c r="F877" s="15">
        <f>[2]!Tabela15[[#This Row],[Preço PIS/Cofins/ICMS]]*1.1</f>
        <v>1.639</v>
      </c>
      <c r="G877" s="10"/>
    </row>
    <row r="878" spans="1:7" ht="15" customHeight="1" x14ac:dyDescent="0.25">
      <c r="A878">
        <f>IFERROR(VLOOKUP(Tabela15[[#This Row],[Produto]],[1]Planilha1!$K$3:$N$300,4,0),"NÃO")</f>
        <v>0.04</v>
      </c>
      <c r="B878" s="7">
        <v>1556</v>
      </c>
      <c r="C878" s="7" t="s">
        <v>952</v>
      </c>
      <c r="D878" s="7" t="s">
        <v>63</v>
      </c>
      <c r="E878" s="7" t="s">
        <v>898</v>
      </c>
      <c r="F878" s="15">
        <f>[2]!Tabela15[[#This Row],[Preço PIS/Cofins/ICMS]]*1.1</f>
        <v>1.5509999999999999</v>
      </c>
      <c r="G878" s="10"/>
    </row>
    <row r="879" spans="1:7" ht="15" customHeight="1" x14ac:dyDescent="0.25">
      <c r="A879">
        <f>IFERROR(VLOOKUP(Tabela15[[#This Row],[Produto]],[1]Planilha1!$K$3:$N$300,4,0),"NÃO")</f>
        <v>0.04</v>
      </c>
      <c r="B879" s="7">
        <v>1557</v>
      </c>
      <c r="C879" s="7" t="s">
        <v>953</v>
      </c>
      <c r="D879" s="7" t="s">
        <v>63</v>
      </c>
      <c r="E879" s="7" t="s">
        <v>898</v>
      </c>
      <c r="F879" s="15">
        <f>[2]!Tabela15[[#This Row],[Preço PIS/Cofins/ICMS]]*1.1</f>
        <v>3.5420000000000007</v>
      </c>
      <c r="G879" s="10"/>
    </row>
    <row r="880" spans="1:7" ht="15" customHeight="1" x14ac:dyDescent="0.25">
      <c r="A880">
        <f>IFERROR(VLOOKUP(Tabela15[[#This Row],[Produto]],[1]Planilha1!$K$3:$N$300,4,0),"NÃO")</f>
        <v>0.04</v>
      </c>
      <c r="B880" s="7">
        <v>1558</v>
      </c>
      <c r="C880" s="7" t="s">
        <v>954</v>
      </c>
      <c r="D880" s="7" t="s">
        <v>63</v>
      </c>
      <c r="E880" s="7" t="s">
        <v>898</v>
      </c>
      <c r="F880" s="15">
        <f>[2]!Tabela15[[#This Row],[Preço PIS/Cofins/ICMS]]*1.1</f>
        <v>7.7220000000000004</v>
      </c>
      <c r="G880" s="10"/>
    </row>
    <row r="881" spans="1:7" ht="15" customHeight="1" x14ac:dyDescent="0.25">
      <c r="A881">
        <f>IFERROR(VLOOKUP(Tabela15[[#This Row],[Produto]],[1]Planilha1!$K$3:$N$300,4,0),"NÃO")</f>
        <v>0.04</v>
      </c>
      <c r="B881" s="7">
        <v>1559</v>
      </c>
      <c r="C881" s="7" t="s">
        <v>955</v>
      </c>
      <c r="D881" s="7" t="s">
        <v>63</v>
      </c>
      <c r="E881" s="7" t="s">
        <v>898</v>
      </c>
      <c r="F881" s="15">
        <f>[2]!Tabela15[[#This Row],[Preço PIS/Cofins/ICMS]]*1.1</f>
        <v>11.198</v>
      </c>
      <c r="G881" s="10"/>
    </row>
    <row r="882" spans="1:7" ht="15" customHeight="1" x14ac:dyDescent="0.25">
      <c r="A882">
        <f>IFERROR(VLOOKUP(Tabela15[[#This Row],[Produto]],[1]Planilha1!$K$3:$N$300,4,0),"NÃO")</f>
        <v>0.04</v>
      </c>
      <c r="B882" s="7">
        <v>1560</v>
      </c>
      <c r="C882" s="7" t="s">
        <v>956</v>
      </c>
      <c r="D882" s="7" t="s">
        <v>63</v>
      </c>
      <c r="E882" s="7" t="s">
        <v>898</v>
      </c>
      <c r="F882" s="15">
        <f>[2]!Tabela15[[#This Row],[Preço PIS/Cofins/ICMS]]*1.1</f>
        <v>23.947000000000003</v>
      </c>
      <c r="G882" s="10"/>
    </row>
    <row r="883" spans="1:7" ht="15" customHeight="1" x14ac:dyDescent="0.25">
      <c r="A883">
        <f>IFERROR(VLOOKUP(Tabela15[[#This Row],[Produto]],[1]Planilha1!$K$3:$N$300,4,0),"NÃO")</f>
        <v>0.04</v>
      </c>
      <c r="B883" s="7">
        <v>1561</v>
      </c>
      <c r="C883" s="7" t="s">
        <v>957</v>
      </c>
      <c r="D883" s="7" t="s">
        <v>63</v>
      </c>
      <c r="E883" s="7" t="s">
        <v>898</v>
      </c>
      <c r="F883" s="15">
        <f>[2]!Tabela15[[#This Row],[Preço PIS/Cofins/ICMS]]*1.1</f>
        <v>32.868000000000002</v>
      </c>
      <c r="G883" s="10"/>
    </row>
    <row r="884" spans="1:7" ht="15" customHeight="1" x14ac:dyDescent="0.25">
      <c r="A884">
        <f>IFERROR(VLOOKUP(Tabela15[[#This Row],[Produto]],[1]Planilha1!$K$3:$N$300,4,0),"NÃO")</f>
        <v>0.04</v>
      </c>
      <c r="B884" s="7">
        <v>1562</v>
      </c>
      <c r="C884" s="7" t="s">
        <v>958</v>
      </c>
      <c r="D884" s="7" t="s">
        <v>63</v>
      </c>
      <c r="E884" s="7" t="s">
        <v>898</v>
      </c>
      <c r="F884" s="15">
        <f>[2]!Tabela15[[#This Row],[Preço PIS/Cofins/ICMS]]*1.1</f>
        <v>75.185000000000002</v>
      </c>
      <c r="G884" s="10"/>
    </row>
    <row r="885" spans="1:7" ht="15" customHeight="1" x14ac:dyDescent="0.25">
      <c r="A885">
        <f>IFERROR(VLOOKUP(Tabela15[[#This Row],[Produto]],[1]Planilha1!$K$3:$N$300,4,0),"NÃO")</f>
        <v>0.04</v>
      </c>
      <c r="B885" s="7">
        <v>1563</v>
      </c>
      <c r="C885" s="7" t="s">
        <v>959</v>
      </c>
      <c r="D885" s="7" t="s">
        <v>63</v>
      </c>
      <c r="E885" s="7" t="s">
        <v>898</v>
      </c>
      <c r="F885" s="15">
        <f>[2]!Tabela15[[#This Row],[Preço PIS/Cofins/ICMS]]*1.1</f>
        <v>109.46100000000001</v>
      </c>
      <c r="G885" s="10"/>
    </row>
    <row r="886" spans="1:7" ht="15" customHeight="1" x14ac:dyDescent="0.25">
      <c r="A886">
        <f>IFERROR(VLOOKUP(Tabela15[[#This Row],[Produto]],[1]Planilha1!$K$3:$N$300,4,0),"NÃO")</f>
        <v>0.04</v>
      </c>
      <c r="B886" s="7">
        <v>1564</v>
      </c>
      <c r="C886" s="7" t="s">
        <v>960</v>
      </c>
      <c r="D886" s="7" t="s">
        <v>63</v>
      </c>
      <c r="E886" s="7" t="s">
        <v>898</v>
      </c>
      <c r="F886" s="15">
        <f>[2]!Tabela15[[#This Row],[Preço PIS/Cofins/ICMS]]*1.1</f>
        <v>3.0030000000000001</v>
      </c>
      <c r="G886" s="10"/>
    </row>
    <row r="887" spans="1:7" ht="15" customHeight="1" x14ac:dyDescent="0.25">
      <c r="A887">
        <f>IFERROR(VLOOKUP(Tabela15[[#This Row],[Produto]],[1]Planilha1!$K$3:$N$300,4,0),"NÃO")</f>
        <v>0.04</v>
      </c>
      <c r="B887" s="7">
        <v>1565</v>
      </c>
      <c r="C887" s="7" t="s">
        <v>961</v>
      </c>
      <c r="D887" s="7" t="s">
        <v>63</v>
      </c>
      <c r="E887" s="7" t="s">
        <v>898</v>
      </c>
      <c r="F887" s="15">
        <f>[2]!Tabela15[[#This Row],[Preço PIS/Cofins/ICMS]]*1.1</f>
        <v>3.1570000000000005</v>
      </c>
      <c r="G887" s="10"/>
    </row>
    <row r="888" spans="1:7" ht="15" customHeight="1" x14ac:dyDescent="0.25">
      <c r="A888">
        <f>IFERROR(VLOOKUP(Tabela15[[#This Row],[Produto]],[1]Planilha1!$K$3:$N$300,4,0),"NÃO")</f>
        <v>0.04</v>
      </c>
      <c r="B888" s="7">
        <v>1566</v>
      </c>
      <c r="C888" s="7" t="s">
        <v>962</v>
      </c>
      <c r="D888" s="7" t="s">
        <v>63</v>
      </c>
      <c r="E888" s="7" t="s">
        <v>898</v>
      </c>
      <c r="F888" s="15">
        <f>[2]!Tabela15[[#This Row],[Preço PIS/Cofins/ICMS]]*1.1</f>
        <v>5.2359999999999998</v>
      </c>
      <c r="G888" s="10"/>
    </row>
    <row r="889" spans="1:7" ht="15" customHeight="1" x14ac:dyDescent="0.25">
      <c r="A889">
        <f>IFERROR(VLOOKUP(Tabela15[[#This Row],[Produto]],[1]Planilha1!$K$3:$N$300,4,0),"NÃO")</f>
        <v>0.04</v>
      </c>
      <c r="B889" s="7">
        <v>1567</v>
      </c>
      <c r="C889" s="7" t="s">
        <v>963</v>
      </c>
      <c r="D889" s="7" t="s">
        <v>63</v>
      </c>
      <c r="E889" s="7" t="s">
        <v>898</v>
      </c>
      <c r="F889" s="15">
        <f>[2]!Tabela15[[#This Row],[Preço PIS/Cofins/ICMS]]*1.1</f>
        <v>10.461</v>
      </c>
      <c r="G889" s="10"/>
    </row>
    <row r="890" spans="1:7" ht="15" customHeight="1" x14ac:dyDescent="0.25">
      <c r="A890">
        <f>IFERROR(VLOOKUP(Tabela15[[#This Row],[Produto]],[1]Planilha1!$K$3:$N$300,4,0),"NÃO")</f>
        <v>0.04</v>
      </c>
      <c r="B890" s="7">
        <v>1568</v>
      </c>
      <c r="C890" s="7" t="s">
        <v>964</v>
      </c>
      <c r="D890" s="7" t="s">
        <v>63</v>
      </c>
      <c r="E890" s="7" t="s">
        <v>898</v>
      </c>
      <c r="F890" s="15">
        <f>[2]!Tabela15[[#This Row],[Preço PIS/Cofins/ICMS]]*1.1</f>
        <v>14.212000000000002</v>
      </c>
      <c r="G890" s="10"/>
    </row>
    <row r="891" spans="1:7" ht="15" customHeight="1" x14ac:dyDescent="0.25">
      <c r="A891">
        <f>IFERROR(VLOOKUP(Tabela15[[#This Row],[Produto]],[1]Planilha1!$K$3:$N$300,4,0),"NÃO")</f>
        <v>0.04</v>
      </c>
      <c r="B891" s="7">
        <v>1569</v>
      </c>
      <c r="C891" s="7" t="s">
        <v>965</v>
      </c>
      <c r="D891" s="7" t="s">
        <v>63</v>
      </c>
      <c r="E891" s="7" t="s">
        <v>898</v>
      </c>
      <c r="F891" s="15">
        <f>[2]!Tabela15[[#This Row],[Preço PIS/Cofins/ICMS]]*1.1</f>
        <v>23.353000000000002</v>
      </c>
      <c r="G891" s="10"/>
    </row>
    <row r="892" spans="1:7" ht="15" customHeight="1" x14ac:dyDescent="0.25">
      <c r="A892">
        <f>IFERROR(VLOOKUP(Tabela15[[#This Row],[Produto]],[1]Planilha1!$K$3:$N$300,4,0),"NÃO")</f>
        <v>0.04</v>
      </c>
      <c r="B892" s="7">
        <v>1570</v>
      </c>
      <c r="C892" s="7" t="s">
        <v>966</v>
      </c>
      <c r="D892" s="7" t="s">
        <v>63</v>
      </c>
      <c r="E892" s="7" t="s">
        <v>898</v>
      </c>
      <c r="F892" s="15">
        <f>[2]!Tabela15[[#This Row],[Preço PIS/Cofins/ICMS]]*1.1</f>
        <v>0.90200000000000002</v>
      </c>
      <c r="G892" s="10"/>
    </row>
    <row r="893" spans="1:7" ht="15" customHeight="1" x14ac:dyDescent="0.25">
      <c r="A893">
        <f>IFERROR(VLOOKUP(Tabela15[[#This Row],[Produto]],[1]Planilha1!$K$3:$N$300,4,0),"NÃO")</f>
        <v>0.04</v>
      </c>
      <c r="B893" s="7">
        <v>1571</v>
      </c>
      <c r="C893" s="7" t="s">
        <v>967</v>
      </c>
      <c r="D893" s="7" t="s">
        <v>63</v>
      </c>
      <c r="E893" s="7" t="s">
        <v>898</v>
      </c>
      <c r="F893" s="15">
        <f>[2]!Tabela15[[#This Row],[Preço PIS/Cofins/ICMS]]*1.1</f>
        <v>1.4410000000000003</v>
      </c>
      <c r="G893" s="10"/>
    </row>
    <row r="894" spans="1:7" ht="15" customHeight="1" x14ac:dyDescent="0.25">
      <c r="A894">
        <f>IFERROR(VLOOKUP(Tabela15[[#This Row],[Produto]],[1]Planilha1!$K$3:$N$300,4,0),"NÃO")</f>
        <v>0.04</v>
      </c>
      <c r="B894" s="7">
        <v>1572</v>
      </c>
      <c r="C894" s="7" t="s">
        <v>968</v>
      </c>
      <c r="D894" s="7" t="s">
        <v>63</v>
      </c>
      <c r="E894" s="7" t="s">
        <v>898</v>
      </c>
      <c r="F894" s="15">
        <f>[2]!Tabela15[[#This Row],[Preço PIS/Cofins/ICMS]]*1.1</f>
        <v>2.1779999999999999</v>
      </c>
      <c r="G894" s="10"/>
    </row>
    <row r="895" spans="1:7" ht="15" customHeight="1" x14ac:dyDescent="0.25">
      <c r="A895">
        <f>IFERROR(VLOOKUP(Tabela15[[#This Row],[Produto]],[1]Planilha1!$K$3:$N$300,4,0),"NÃO")</f>
        <v>0.04</v>
      </c>
      <c r="B895" s="7">
        <v>1573</v>
      </c>
      <c r="C895" s="7" t="s">
        <v>969</v>
      </c>
      <c r="D895" s="7" t="s">
        <v>63</v>
      </c>
      <c r="E895" s="7" t="s">
        <v>898</v>
      </c>
      <c r="F895" s="15">
        <f>[2]!Tabela15[[#This Row],[Preço PIS/Cofins/ICMS]]*1.1</f>
        <v>4.9169999999999998</v>
      </c>
      <c r="G895" s="10"/>
    </row>
    <row r="896" spans="1:7" ht="15" customHeight="1" x14ac:dyDescent="0.25">
      <c r="A896">
        <f>IFERROR(VLOOKUP(Tabela15[[#This Row],[Produto]],[1]Planilha1!$K$3:$N$300,4,0),"NÃO")</f>
        <v>0.04</v>
      </c>
      <c r="B896" s="7">
        <v>1574</v>
      </c>
      <c r="C896" s="7" t="s">
        <v>970</v>
      </c>
      <c r="D896" s="7" t="s">
        <v>63</v>
      </c>
      <c r="E896" s="7" t="s">
        <v>898</v>
      </c>
      <c r="F896" s="15">
        <f>[2]!Tabela15[[#This Row],[Preço PIS/Cofins/ICMS]]*1.1</f>
        <v>8.2720000000000002</v>
      </c>
      <c r="G896" s="10"/>
    </row>
    <row r="897" spans="1:7" ht="15" customHeight="1" x14ac:dyDescent="0.25">
      <c r="A897">
        <f>IFERROR(VLOOKUP(Tabela15[[#This Row],[Produto]],[1]Planilha1!$K$3:$N$300,4,0),"NÃO")</f>
        <v>0.04</v>
      </c>
      <c r="B897" s="7">
        <v>1575</v>
      </c>
      <c r="C897" s="7" t="s">
        <v>971</v>
      </c>
      <c r="D897" s="7" t="s">
        <v>63</v>
      </c>
      <c r="E897" s="7" t="s">
        <v>898</v>
      </c>
      <c r="F897" s="15">
        <f>[2]!Tabela15[[#This Row],[Preço PIS/Cofins/ICMS]]*1.1</f>
        <v>12.968999999999999</v>
      </c>
      <c r="G897" s="10"/>
    </row>
    <row r="898" spans="1:7" ht="15" customHeight="1" x14ac:dyDescent="0.25">
      <c r="A898">
        <f>IFERROR(VLOOKUP(Tabela15[[#This Row],[Produto]],[1]Planilha1!$K$3:$N$300,4,0),"NÃO")</f>
        <v>0.04</v>
      </c>
      <c r="B898" s="7">
        <v>1576</v>
      </c>
      <c r="C898" s="7" t="s">
        <v>972</v>
      </c>
      <c r="D898" s="7" t="s">
        <v>63</v>
      </c>
      <c r="E898" s="7" t="s">
        <v>898</v>
      </c>
      <c r="F898" s="15">
        <f>[2]!Tabela15[[#This Row],[Preço PIS/Cofins/ICMS]]*1.1</f>
        <v>39.952000000000005</v>
      </c>
      <c r="G898" s="10"/>
    </row>
    <row r="899" spans="1:7" ht="15" customHeight="1" x14ac:dyDescent="0.25">
      <c r="A899">
        <f>IFERROR(VLOOKUP(Tabela15[[#This Row],[Produto]],[1]Planilha1!$K$3:$N$300,4,0),"NÃO")</f>
        <v>0.04</v>
      </c>
      <c r="B899" s="7">
        <v>1577</v>
      </c>
      <c r="C899" s="7" t="s">
        <v>973</v>
      </c>
      <c r="D899" s="7" t="s">
        <v>63</v>
      </c>
      <c r="E899" s="7" t="s">
        <v>898</v>
      </c>
      <c r="F899" s="15">
        <f>[2]!Tabela15[[#This Row],[Preço PIS/Cofins/ICMS]]*1.1</f>
        <v>62.920000000000009</v>
      </c>
      <c r="G899" s="10"/>
    </row>
    <row r="900" spans="1:7" ht="15" customHeight="1" x14ac:dyDescent="0.25">
      <c r="A900">
        <f>IFERROR(VLOOKUP(Tabela15[[#This Row],[Produto]],[1]Planilha1!$K$3:$N$300,4,0),"NÃO")</f>
        <v>0.04</v>
      </c>
      <c r="B900" s="7">
        <v>1578</v>
      </c>
      <c r="C900" s="7" t="s">
        <v>974</v>
      </c>
      <c r="D900" s="7" t="s">
        <v>63</v>
      </c>
      <c r="E900" s="7" t="s">
        <v>898</v>
      </c>
      <c r="F900" s="15">
        <f>[2]!Tabela15[[#This Row],[Preço PIS/Cofins/ICMS]]*1.1</f>
        <v>121.63800000000001</v>
      </c>
      <c r="G900" s="10"/>
    </row>
    <row r="901" spans="1:7" ht="15" customHeight="1" x14ac:dyDescent="0.25">
      <c r="A901">
        <f>IFERROR(VLOOKUP(Tabela15[[#This Row],[Produto]],[1]Planilha1!$K$3:$N$300,4,0),"NÃO")</f>
        <v>0.04</v>
      </c>
      <c r="B901" s="7">
        <v>1579</v>
      </c>
      <c r="C901" s="7" t="s">
        <v>975</v>
      </c>
      <c r="D901" s="7" t="s">
        <v>63</v>
      </c>
      <c r="E901" s="7" t="s">
        <v>898</v>
      </c>
      <c r="F901" s="15">
        <f>[2]!Tabela15[[#This Row],[Preço PIS/Cofins/ICMS]]*1.1</f>
        <v>5.9290000000000003</v>
      </c>
      <c r="G901" s="10"/>
    </row>
    <row r="902" spans="1:7" ht="15" customHeight="1" x14ac:dyDescent="0.25">
      <c r="A902">
        <f>IFERROR(VLOOKUP(Tabela15[[#This Row],[Produto]],[1]Planilha1!$K$3:$N$300,4,0),"NÃO")</f>
        <v>0.04</v>
      </c>
      <c r="B902" s="7">
        <v>1580</v>
      </c>
      <c r="C902" s="7" t="s">
        <v>976</v>
      </c>
      <c r="D902" s="7" t="s">
        <v>63</v>
      </c>
      <c r="E902" s="7" t="s">
        <v>898</v>
      </c>
      <c r="F902" s="15">
        <f>[2]!Tabela15[[#This Row],[Preço PIS/Cofins/ICMS]]*1.1</f>
        <v>12.221</v>
      </c>
      <c r="G902" s="10"/>
    </row>
    <row r="903" spans="1:7" ht="15" customHeight="1" x14ac:dyDescent="0.25">
      <c r="A903">
        <f>IFERROR(VLOOKUP(Tabela15[[#This Row],[Produto]],[1]Planilha1!$K$3:$N$300,4,0),"NÃO")</f>
        <v>0.04</v>
      </c>
      <c r="B903" s="7">
        <v>1581</v>
      </c>
      <c r="C903" s="7" t="s">
        <v>977</v>
      </c>
      <c r="D903" s="7" t="s">
        <v>63</v>
      </c>
      <c r="E903" s="7" t="s">
        <v>898</v>
      </c>
      <c r="F903" s="15">
        <f>[2]!Tabela15[[#This Row],[Preço PIS/Cofins/ICMS]]*1.1</f>
        <v>24.463999999999999</v>
      </c>
      <c r="G903" s="10"/>
    </row>
    <row r="904" spans="1:7" ht="15" customHeight="1" x14ac:dyDescent="0.25">
      <c r="A904">
        <f>IFERROR(VLOOKUP(Tabela15[[#This Row],[Produto]],[1]Planilha1!$K$3:$N$300,4,0),"NÃO")</f>
        <v>0.04</v>
      </c>
      <c r="B904" s="7">
        <v>1582</v>
      </c>
      <c r="C904" s="7" t="s">
        <v>978</v>
      </c>
      <c r="D904" s="7" t="s">
        <v>63</v>
      </c>
      <c r="E904" s="7" t="s">
        <v>898</v>
      </c>
      <c r="F904" s="15">
        <f>[2]!Tabela15[[#This Row],[Preço PIS/Cofins/ICMS]]*1.1</f>
        <v>14.223000000000001</v>
      </c>
      <c r="G904" s="10"/>
    </row>
    <row r="905" spans="1:7" ht="15" customHeight="1" x14ac:dyDescent="0.25">
      <c r="A905">
        <f>IFERROR(VLOOKUP(Tabela15[[#This Row],[Produto]],[1]Planilha1!$K$3:$N$300,4,0),"NÃO")</f>
        <v>0.04</v>
      </c>
      <c r="B905" s="7">
        <v>1583</v>
      </c>
      <c r="C905" s="7" t="s">
        <v>979</v>
      </c>
      <c r="D905" s="7" t="s">
        <v>63</v>
      </c>
      <c r="E905" s="7" t="s">
        <v>898</v>
      </c>
      <c r="F905" s="15">
        <f>[2]!Tabela15[[#This Row],[Preço PIS/Cofins/ICMS]]*1.1</f>
        <v>2.3210000000000002</v>
      </c>
      <c r="G905" s="10"/>
    </row>
    <row r="906" spans="1:7" ht="15" customHeight="1" x14ac:dyDescent="0.25">
      <c r="A906">
        <f>IFERROR(VLOOKUP(Tabela15[[#This Row],[Produto]],[1]Planilha1!$K$3:$N$300,4,0),"NÃO")</f>
        <v>0.04</v>
      </c>
      <c r="B906" s="7">
        <v>1584</v>
      </c>
      <c r="C906" s="7" t="s">
        <v>980</v>
      </c>
      <c r="D906" s="7" t="s">
        <v>63</v>
      </c>
      <c r="E906" s="7" t="s">
        <v>898</v>
      </c>
      <c r="F906" s="15">
        <f>[2]!Tabela15[[#This Row],[Preço PIS/Cofins/ICMS]]*1.1</f>
        <v>2.2989999999999999</v>
      </c>
      <c r="G906" s="10"/>
    </row>
    <row r="907" spans="1:7" ht="15" customHeight="1" x14ac:dyDescent="0.25">
      <c r="A907">
        <f>IFERROR(VLOOKUP(Tabela15[[#This Row],[Produto]],[1]Planilha1!$K$3:$N$300,4,0),"NÃO")</f>
        <v>0.04</v>
      </c>
      <c r="B907" s="7">
        <v>1585</v>
      </c>
      <c r="C907" s="7" t="s">
        <v>981</v>
      </c>
      <c r="D907" s="7" t="s">
        <v>63</v>
      </c>
      <c r="E907" s="7" t="s">
        <v>898</v>
      </c>
      <c r="F907" s="15">
        <f>[2]!Tabela15[[#This Row],[Preço PIS/Cofins/ICMS]]*1.1</f>
        <v>4.5430000000000001</v>
      </c>
      <c r="G907" s="10"/>
    </row>
    <row r="908" spans="1:7" ht="15" customHeight="1" x14ac:dyDescent="0.25">
      <c r="A908">
        <f>IFERROR(VLOOKUP(Tabela15[[#This Row],[Produto]],[1]Planilha1!$K$3:$N$300,4,0),"NÃO")</f>
        <v>0.04</v>
      </c>
      <c r="B908" s="7">
        <v>1586</v>
      </c>
      <c r="C908" s="7" t="s">
        <v>982</v>
      </c>
      <c r="D908" s="7" t="s">
        <v>63</v>
      </c>
      <c r="E908" s="7" t="s">
        <v>898</v>
      </c>
      <c r="F908" s="15">
        <f>[2]!Tabela15[[#This Row],[Preço PIS/Cofins/ICMS]]*1.1</f>
        <v>1.7600000000000002</v>
      </c>
      <c r="G908" s="10"/>
    </row>
    <row r="909" spans="1:7" ht="15" customHeight="1" x14ac:dyDescent="0.25">
      <c r="A909">
        <f>IFERROR(VLOOKUP(Tabela15[[#This Row],[Produto]],[1]Planilha1!$K$3:$N$300,4,0),"NÃO")</f>
        <v>0.04</v>
      </c>
      <c r="B909" s="7">
        <v>1587</v>
      </c>
      <c r="C909" s="7" t="s">
        <v>983</v>
      </c>
      <c r="D909" s="7" t="s">
        <v>63</v>
      </c>
      <c r="E909" s="7" t="s">
        <v>898</v>
      </c>
      <c r="F909" s="15">
        <f>[2]!Tabela15[[#This Row],[Preço PIS/Cofins/ICMS]]*1.1</f>
        <v>2.2330000000000001</v>
      </c>
      <c r="G909" s="10"/>
    </row>
    <row r="910" spans="1:7" ht="15" customHeight="1" x14ac:dyDescent="0.25">
      <c r="A910">
        <f>IFERROR(VLOOKUP(Tabela15[[#This Row],[Produto]],[1]Planilha1!$K$3:$N$300,4,0),"NÃO")</f>
        <v>0.04</v>
      </c>
      <c r="B910" s="7">
        <v>1588</v>
      </c>
      <c r="C910" s="7" t="s">
        <v>984</v>
      </c>
      <c r="D910" s="7" t="s">
        <v>63</v>
      </c>
      <c r="E910" s="7" t="s">
        <v>898</v>
      </c>
      <c r="F910" s="15">
        <f>[2]!Tabela15[[#This Row],[Preço PIS/Cofins/ICMS]]*1.1</f>
        <v>3.74</v>
      </c>
      <c r="G910" s="10"/>
    </row>
    <row r="911" spans="1:7" ht="15" customHeight="1" x14ac:dyDescent="0.25">
      <c r="A911">
        <f>IFERROR(VLOOKUP(Tabela15[[#This Row],[Produto]],[1]Planilha1!$K$3:$N$300,4,0),"NÃO")</f>
        <v>0.04</v>
      </c>
      <c r="B911" s="7">
        <v>1589</v>
      </c>
      <c r="C911" s="7" t="s">
        <v>985</v>
      </c>
      <c r="D911" s="7" t="s">
        <v>63</v>
      </c>
      <c r="E911" s="7" t="s">
        <v>898</v>
      </c>
      <c r="F911" s="15">
        <f>[2]!Tabela15[[#This Row],[Preço PIS/Cofins/ICMS]]*1.1</f>
        <v>0.97900000000000009</v>
      </c>
      <c r="G911" s="10"/>
    </row>
    <row r="912" spans="1:7" ht="15" customHeight="1" x14ac:dyDescent="0.25">
      <c r="A912">
        <f>IFERROR(VLOOKUP(Tabela15[[#This Row],[Produto]],[1]Planilha1!$K$3:$N$300,4,0),"NÃO")</f>
        <v>0.04</v>
      </c>
      <c r="B912" s="7">
        <v>1590</v>
      </c>
      <c r="C912" s="7" t="s">
        <v>986</v>
      </c>
      <c r="D912" s="7" t="s">
        <v>63</v>
      </c>
      <c r="E912" s="7" t="s">
        <v>898</v>
      </c>
      <c r="F912" s="15">
        <f>[2]!Tabela15[[#This Row],[Preço PIS/Cofins/ICMS]]*1.1</f>
        <v>1.1220000000000001</v>
      </c>
      <c r="G912" s="10"/>
    </row>
    <row r="913" spans="1:7" ht="15" customHeight="1" x14ac:dyDescent="0.25">
      <c r="A913">
        <f>IFERROR(VLOOKUP(Tabela15[[#This Row],[Produto]],[1]Planilha1!$K$3:$N$300,4,0),"NÃO")</f>
        <v>0.04</v>
      </c>
      <c r="B913" s="7">
        <v>1591</v>
      </c>
      <c r="C913" s="7" t="s">
        <v>987</v>
      </c>
      <c r="D913" s="7" t="s">
        <v>63</v>
      </c>
      <c r="E913" s="7" t="s">
        <v>898</v>
      </c>
      <c r="F913" s="15">
        <f>[2]!Tabela15[[#This Row],[Preço PIS/Cofins/ICMS]]*1.1</f>
        <v>1.8149999999999999</v>
      </c>
      <c r="G913" s="10"/>
    </row>
    <row r="914" spans="1:7" ht="15" customHeight="1" x14ac:dyDescent="0.25">
      <c r="A914">
        <f>IFERROR(VLOOKUP(Tabela15[[#This Row],[Produto]],[1]Planilha1!$K$3:$N$300,4,0),"NÃO")</f>
        <v>0.04</v>
      </c>
      <c r="B914" s="7">
        <v>1592</v>
      </c>
      <c r="C914" s="7" t="s">
        <v>988</v>
      </c>
      <c r="D914" s="7" t="s">
        <v>63</v>
      </c>
      <c r="E914" s="7" t="s">
        <v>898</v>
      </c>
      <c r="F914" s="15">
        <f>[2]!Tabela15[[#This Row],[Preço PIS/Cofins/ICMS]]*1.1</f>
        <v>4.5760000000000005</v>
      </c>
      <c r="G914" s="10"/>
    </row>
    <row r="915" spans="1:7" ht="15" customHeight="1" x14ac:dyDescent="0.25">
      <c r="A915">
        <f>IFERROR(VLOOKUP(Tabela15[[#This Row],[Produto]],[1]Planilha1!$K$3:$N$300,4,0),"NÃO")</f>
        <v>0.04</v>
      </c>
      <c r="B915" s="7">
        <v>1593</v>
      </c>
      <c r="C915" s="7" t="s">
        <v>989</v>
      </c>
      <c r="D915" s="7" t="s">
        <v>63</v>
      </c>
      <c r="E915" s="7" t="s">
        <v>898</v>
      </c>
      <c r="F915" s="15">
        <f>[2]!Tabela15[[#This Row],[Preço PIS/Cofins/ICMS]]*1.1</f>
        <v>6.1050000000000004</v>
      </c>
      <c r="G915" s="10"/>
    </row>
    <row r="916" spans="1:7" ht="15" customHeight="1" x14ac:dyDescent="0.25">
      <c r="A916">
        <f>IFERROR(VLOOKUP(Tabela15[[#This Row],[Produto]],[1]Planilha1!$K$3:$N$300,4,0),"NÃO")</f>
        <v>0.04</v>
      </c>
      <c r="B916" s="7">
        <v>1594</v>
      </c>
      <c r="C916" s="7" t="s">
        <v>990</v>
      </c>
      <c r="D916" s="7" t="s">
        <v>63</v>
      </c>
      <c r="E916" s="7" t="s">
        <v>898</v>
      </c>
      <c r="F916" s="15">
        <f>[2]!Tabela15[[#This Row],[Preço PIS/Cofins/ICMS]]*1.1</f>
        <v>9.9329999999999998</v>
      </c>
      <c r="G916" s="10"/>
    </row>
    <row r="917" spans="1:7" ht="15" customHeight="1" x14ac:dyDescent="0.25">
      <c r="A917">
        <f>IFERROR(VLOOKUP(Tabela15[[#This Row],[Produto]],[1]Planilha1!$K$3:$N$300,4,0),"NÃO")</f>
        <v>0.04</v>
      </c>
      <c r="B917" s="7">
        <v>1595</v>
      </c>
      <c r="C917" s="7" t="s">
        <v>991</v>
      </c>
      <c r="D917" s="7" t="s">
        <v>63</v>
      </c>
      <c r="E917" s="7" t="s">
        <v>898</v>
      </c>
      <c r="F917" s="15">
        <f>[2]!Tabela15[[#This Row],[Preço PIS/Cofins/ICMS]]*1.1</f>
        <v>22.77</v>
      </c>
      <c r="G917" s="10"/>
    </row>
    <row r="918" spans="1:7" ht="15" customHeight="1" x14ac:dyDescent="0.25">
      <c r="A918">
        <f>IFERROR(VLOOKUP(Tabela15[[#This Row],[Produto]],[1]Planilha1!$K$3:$N$300,4,0),"NÃO")</f>
        <v>0.04</v>
      </c>
      <c r="B918" s="7">
        <v>1596</v>
      </c>
      <c r="C918" s="7" t="s">
        <v>992</v>
      </c>
      <c r="D918" s="7" t="s">
        <v>63</v>
      </c>
      <c r="E918" s="7" t="s">
        <v>898</v>
      </c>
      <c r="F918" s="15">
        <f>[2]!Tabela15[[#This Row],[Preço PIS/Cofins/ICMS]]*1.1</f>
        <v>40.898000000000003</v>
      </c>
      <c r="G918" s="10"/>
    </row>
    <row r="919" spans="1:7" ht="15" customHeight="1" x14ac:dyDescent="0.25">
      <c r="A919">
        <f>IFERROR(VLOOKUP(Tabela15[[#This Row],[Produto]],[1]Planilha1!$K$3:$N$300,4,0),"NÃO")</f>
        <v>0.04</v>
      </c>
      <c r="B919" s="7">
        <v>1597</v>
      </c>
      <c r="C919" s="7" t="s">
        <v>993</v>
      </c>
      <c r="D919" s="7" t="s">
        <v>63</v>
      </c>
      <c r="E919" s="7" t="s">
        <v>898</v>
      </c>
      <c r="F919" s="15">
        <f>[2]!Tabela15[[#This Row],[Preço PIS/Cofins/ICMS]]*1.1</f>
        <v>63.338000000000001</v>
      </c>
      <c r="G919" s="10"/>
    </row>
    <row r="920" spans="1:7" ht="15" customHeight="1" x14ac:dyDescent="0.25">
      <c r="A920">
        <f>IFERROR(VLOOKUP(Tabela15[[#This Row],[Produto]],[1]Planilha1!$K$3:$N$300,4,0),"NÃO")</f>
        <v>0.04</v>
      </c>
      <c r="B920" s="7">
        <v>1598</v>
      </c>
      <c r="C920" s="7" t="s">
        <v>994</v>
      </c>
      <c r="D920" s="7" t="s">
        <v>63</v>
      </c>
      <c r="E920" s="7" t="s">
        <v>898</v>
      </c>
      <c r="F920" s="15">
        <f>[2]!Tabela15[[#This Row],[Preço PIS/Cofins/ICMS]]*1.1</f>
        <v>7.3150000000000013</v>
      </c>
      <c r="G920" s="10"/>
    </row>
    <row r="921" spans="1:7" ht="15" customHeight="1" x14ac:dyDescent="0.25">
      <c r="A921">
        <f>IFERROR(VLOOKUP(Tabela15[[#This Row],[Produto]],[1]Planilha1!$K$3:$N$300,4,0),"NÃO")</f>
        <v>0.04</v>
      </c>
      <c r="B921" s="7">
        <v>1599</v>
      </c>
      <c r="C921" s="7" t="s">
        <v>995</v>
      </c>
      <c r="D921" s="7" t="s">
        <v>63</v>
      </c>
      <c r="E921" s="7" t="s">
        <v>898</v>
      </c>
      <c r="F921" s="15">
        <f>[2]!Tabela15[[#This Row],[Preço PIS/Cofins/ICMS]]*1.1</f>
        <v>7.766</v>
      </c>
      <c r="G921" s="10"/>
    </row>
    <row r="922" spans="1:7" ht="15" customHeight="1" x14ac:dyDescent="0.25">
      <c r="A922">
        <f>IFERROR(VLOOKUP(Tabela15[[#This Row],[Produto]],[1]Planilha1!$K$3:$N$300,4,0),"NÃO")</f>
        <v>0.04</v>
      </c>
      <c r="B922" s="7">
        <v>1770</v>
      </c>
      <c r="C922" s="7" t="s">
        <v>996</v>
      </c>
      <c r="D922" s="7" t="s">
        <v>63</v>
      </c>
      <c r="E922" s="7" t="s">
        <v>898</v>
      </c>
      <c r="F922" s="15">
        <f>[2]!Tabela15[[#This Row],[Preço PIS/Cofins/ICMS]]*1.1</f>
        <v>16.302000000000003</v>
      </c>
      <c r="G922" s="10"/>
    </row>
    <row r="923" spans="1:7" ht="15" customHeight="1" x14ac:dyDescent="0.25">
      <c r="A923">
        <f>IFERROR(VLOOKUP(Tabela15[[#This Row],[Produto]],[1]Planilha1!$K$3:$N$300,4,0),"NÃO")</f>
        <v>0.04</v>
      </c>
      <c r="B923" s="7">
        <v>1771</v>
      </c>
      <c r="C923" s="7" t="s">
        <v>997</v>
      </c>
      <c r="D923" s="7" t="s">
        <v>63</v>
      </c>
      <c r="E923" s="7" t="s">
        <v>898</v>
      </c>
      <c r="F923" s="15">
        <f>[2]!Tabela15[[#This Row],[Preço PIS/Cofins/ICMS]]*1.1</f>
        <v>19.920999999999999</v>
      </c>
      <c r="G923" s="10"/>
    </row>
    <row r="924" spans="1:7" ht="15" customHeight="1" x14ac:dyDescent="0.25">
      <c r="A924">
        <f>IFERROR(VLOOKUP(Tabela15[[#This Row],[Produto]],[1]Planilha1!$K$3:$N$300,4,0),"NÃO")</f>
        <v>0.04</v>
      </c>
      <c r="B924" s="7">
        <v>1772</v>
      </c>
      <c r="C924" s="7" t="s">
        <v>998</v>
      </c>
      <c r="D924" s="7" t="s">
        <v>63</v>
      </c>
      <c r="E924" s="7" t="s">
        <v>898</v>
      </c>
      <c r="F924" s="15">
        <f>[2]!Tabela15[[#This Row],[Preço PIS/Cofins/ICMS]]*1.1</f>
        <v>3.2010000000000005</v>
      </c>
      <c r="G924" s="10"/>
    </row>
    <row r="925" spans="1:7" ht="15" customHeight="1" x14ac:dyDescent="0.25">
      <c r="A925">
        <f>IFERROR(VLOOKUP(Tabela15[[#This Row],[Produto]],[1]Planilha1!$K$3:$N$300,4,0),"NÃO")</f>
        <v>0.04</v>
      </c>
      <c r="B925" s="7">
        <v>1773</v>
      </c>
      <c r="C925" s="7" t="s">
        <v>999</v>
      </c>
      <c r="D925" s="7" t="s">
        <v>63</v>
      </c>
      <c r="E925" s="7" t="s">
        <v>898</v>
      </c>
      <c r="F925" s="15">
        <f>[2]!Tabela15[[#This Row],[Preço PIS/Cofins/ICMS]]*1.1</f>
        <v>3.7730000000000006</v>
      </c>
      <c r="G925" s="10"/>
    </row>
    <row r="926" spans="1:7" ht="15" customHeight="1" x14ac:dyDescent="0.25">
      <c r="A926">
        <f>IFERROR(VLOOKUP(Tabela15[[#This Row],[Produto]],[1]Planilha1!$K$3:$N$300,4,0),"NÃO")</f>
        <v>0.04</v>
      </c>
      <c r="B926" s="7">
        <v>1786</v>
      </c>
      <c r="C926" s="7" t="s">
        <v>1000</v>
      </c>
      <c r="D926" s="7" t="s">
        <v>63</v>
      </c>
      <c r="E926" s="7" t="s">
        <v>898</v>
      </c>
      <c r="F926" s="15">
        <f>[2]!Tabela15[[#This Row],[Preço PIS/Cofins/ICMS]]*1.1</f>
        <v>2.7829999999999999</v>
      </c>
      <c r="G926" s="10"/>
    </row>
    <row r="927" spans="1:7" ht="15" customHeight="1" x14ac:dyDescent="0.25">
      <c r="A927">
        <f>IFERROR(VLOOKUP(Tabela15[[#This Row],[Produto]],[1]Planilha1!$K$3:$N$300,4,0),"NÃO")</f>
        <v>0.04</v>
      </c>
      <c r="B927" s="7">
        <v>1787</v>
      </c>
      <c r="C927" s="7" t="s">
        <v>1001</v>
      </c>
      <c r="D927" s="7" t="s">
        <v>63</v>
      </c>
      <c r="E927" s="7" t="s">
        <v>898</v>
      </c>
      <c r="F927" s="15">
        <f>[2]!Tabela15[[#This Row],[Preço PIS/Cofins/ICMS]]*1.1</f>
        <v>10.461</v>
      </c>
      <c r="G927" s="10"/>
    </row>
    <row r="928" spans="1:7" ht="15" customHeight="1" x14ac:dyDescent="0.25">
      <c r="A928">
        <f>IFERROR(VLOOKUP(Tabela15[[#This Row],[Produto]],[1]Planilha1!$K$3:$N$300,4,0),"NÃO")</f>
        <v>0.04</v>
      </c>
      <c r="B928" s="7">
        <v>1788</v>
      </c>
      <c r="C928" s="7" t="s">
        <v>1002</v>
      </c>
      <c r="D928" s="7" t="s">
        <v>63</v>
      </c>
      <c r="E928" s="7" t="s">
        <v>898</v>
      </c>
      <c r="F928" s="15">
        <f>[2]!Tabela15[[#This Row],[Preço PIS/Cofins/ICMS]]*1.1</f>
        <v>11.891000000000002</v>
      </c>
      <c r="G928" s="10"/>
    </row>
    <row r="929" spans="1:7" ht="15" customHeight="1" x14ac:dyDescent="0.25">
      <c r="A929">
        <f>IFERROR(VLOOKUP(Tabela15[[#This Row],[Produto]],[1]Planilha1!$K$3:$N$300,4,0),"NÃO")</f>
        <v>0.04</v>
      </c>
      <c r="B929" s="7">
        <v>1789</v>
      </c>
      <c r="C929" s="7" t="s">
        <v>1003</v>
      </c>
      <c r="D929" s="7" t="s">
        <v>63</v>
      </c>
      <c r="E929" s="7" t="s">
        <v>898</v>
      </c>
      <c r="F929" s="15">
        <f>[2]!Tabela15[[#This Row],[Preço PIS/Cofins/ICMS]]*1.1</f>
        <v>12.496</v>
      </c>
      <c r="G929" s="10"/>
    </row>
    <row r="930" spans="1:7" ht="15" customHeight="1" x14ac:dyDescent="0.25">
      <c r="A930">
        <f>IFERROR(VLOOKUP(Tabela15[[#This Row],[Produto]],[1]Planilha1!$K$3:$N$300,4,0),"NÃO")</f>
        <v>0.04</v>
      </c>
      <c r="B930" s="7">
        <v>1790</v>
      </c>
      <c r="C930" s="7" t="s">
        <v>1004</v>
      </c>
      <c r="D930" s="7" t="s">
        <v>63</v>
      </c>
      <c r="E930" s="7" t="s">
        <v>898</v>
      </c>
      <c r="F930" s="15">
        <f>[2]!Tabela15[[#This Row],[Preço PIS/Cofins/ICMS]]*1.1</f>
        <v>20.02</v>
      </c>
      <c r="G930" s="10"/>
    </row>
    <row r="931" spans="1:7" ht="15" customHeight="1" x14ac:dyDescent="0.25">
      <c r="A931">
        <f>IFERROR(VLOOKUP(Tabela15[[#This Row],[Produto]],[1]Planilha1!$K$3:$N$300,4,0),"NÃO")</f>
        <v>0.04</v>
      </c>
      <c r="B931" s="7">
        <v>1791</v>
      </c>
      <c r="C931" s="7" t="s">
        <v>1005</v>
      </c>
      <c r="D931" s="7" t="s">
        <v>63</v>
      </c>
      <c r="E931" s="7" t="s">
        <v>898</v>
      </c>
      <c r="F931" s="15">
        <f>[2]!Tabela15[[#This Row],[Preço PIS/Cofins/ICMS]]*1.1</f>
        <v>14.905000000000001</v>
      </c>
      <c r="G931" s="10"/>
    </row>
    <row r="932" spans="1:7" ht="15" customHeight="1" x14ac:dyDescent="0.25">
      <c r="A932">
        <f>IFERROR(VLOOKUP(Tabela15[[#This Row],[Produto]],[1]Planilha1!$K$3:$N$300,4,0),"NÃO")</f>
        <v>0.04</v>
      </c>
      <c r="B932" s="7">
        <v>1792</v>
      </c>
      <c r="C932" s="7" t="s">
        <v>1006</v>
      </c>
      <c r="D932" s="7" t="s">
        <v>63</v>
      </c>
      <c r="E932" s="7" t="s">
        <v>898</v>
      </c>
      <c r="F932" s="15">
        <f>[2]!Tabela15[[#This Row],[Preço PIS/Cofins/ICMS]]*1.1</f>
        <v>19.657000000000004</v>
      </c>
      <c r="G932" s="10"/>
    </row>
    <row r="933" spans="1:7" ht="15" customHeight="1" x14ac:dyDescent="0.25">
      <c r="A933">
        <f>IFERROR(VLOOKUP(Tabela15[[#This Row],[Produto]],[1]Planilha1!$K$3:$N$300,4,0),"NÃO")</f>
        <v>0.04</v>
      </c>
      <c r="B933" s="7">
        <v>1793</v>
      </c>
      <c r="C933" s="7" t="s">
        <v>1007</v>
      </c>
      <c r="D933" s="7" t="s">
        <v>63</v>
      </c>
      <c r="E933" s="7" t="s">
        <v>898</v>
      </c>
      <c r="F933" s="15">
        <f>[2]!Tabela15[[#This Row],[Preço PIS/Cofins/ICMS]]*1.1</f>
        <v>1.7380000000000002</v>
      </c>
      <c r="G933" s="10"/>
    </row>
    <row r="934" spans="1:7" ht="15" customHeight="1" x14ac:dyDescent="0.25">
      <c r="A934">
        <f>IFERROR(VLOOKUP(Tabela15[[#This Row],[Produto]],[1]Planilha1!$K$3:$N$300,4,0),"NÃO")</f>
        <v>0.04</v>
      </c>
      <c r="B934" s="7">
        <v>1794</v>
      </c>
      <c r="C934" s="7" t="s">
        <v>1008</v>
      </c>
      <c r="D934" s="7" t="s">
        <v>63</v>
      </c>
      <c r="E934" s="7" t="s">
        <v>898</v>
      </c>
      <c r="F934" s="15">
        <f>[2]!Tabela15[[#This Row],[Preço PIS/Cofins/ICMS]]*1.1</f>
        <v>2.2000000000000002</v>
      </c>
      <c r="G934" s="10"/>
    </row>
    <row r="935" spans="1:7" ht="15" customHeight="1" x14ac:dyDescent="0.25">
      <c r="A935">
        <f>IFERROR(VLOOKUP(Tabela15[[#This Row],[Produto]],[1]Planilha1!$K$3:$N$300,4,0),"NÃO")</f>
        <v>0.04</v>
      </c>
      <c r="B935" s="7">
        <v>1795</v>
      </c>
      <c r="C935" s="7" t="s">
        <v>1009</v>
      </c>
      <c r="D935" s="7" t="s">
        <v>63</v>
      </c>
      <c r="E935" s="7" t="s">
        <v>898</v>
      </c>
      <c r="F935" s="15">
        <f>[2]!Tabela15[[#This Row],[Preço PIS/Cofins/ICMS]]*1.1</f>
        <v>3.9600000000000004</v>
      </c>
      <c r="G935" s="10"/>
    </row>
    <row r="936" spans="1:7" ht="15" customHeight="1" x14ac:dyDescent="0.25">
      <c r="A936">
        <f>IFERROR(VLOOKUP(Tabela15[[#This Row],[Produto]],[1]Planilha1!$K$3:$N$300,4,0),"NÃO")</f>
        <v>0.04</v>
      </c>
      <c r="B936" s="7">
        <v>1796</v>
      </c>
      <c r="C936" s="7" t="s">
        <v>1010</v>
      </c>
      <c r="D936" s="7" t="s">
        <v>63</v>
      </c>
      <c r="E936" s="7" t="s">
        <v>898</v>
      </c>
      <c r="F936" s="15">
        <f>[2]!Tabela15[[#This Row],[Preço PIS/Cofins/ICMS]]*1.1</f>
        <v>6.8530000000000006</v>
      </c>
      <c r="G936" s="10"/>
    </row>
    <row r="937" spans="1:7" ht="15" customHeight="1" x14ac:dyDescent="0.25">
      <c r="A937">
        <f>IFERROR(VLOOKUP(Tabela15[[#This Row],[Produto]],[1]Planilha1!$K$3:$N$300,4,0),"NÃO")</f>
        <v>0.04</v>
      </c>
      <c r="B937" s="7">
        <v>1797</v>
      </c>
      <c r="C937" s="7" t="s">
        <v>1011</v>
      </c>
      <c r="D937" s="7" t="s">
        <v>63</v>
      </c>
      <c r="E937" s="7" t="s">
        <v>898</v>
      </c>
      <c r="F937" s="15">
        <f>[2]!Tabela15[[#This Row],[Preço PIS/Cofins/ICMS]]*1.1</f>
        <v>12.968999999999999</v>
      </c>
      <c r="G937" s="10"/>
    </row>
    <row r="938" spans="1:7" ht="15" customHeight="1" x14ac:dyDescent="0.25">
      <c r="A938">
        <f>IFERROR(VLOOKUP(Tabela15[[#This Row],[Produto]],[1]Planilha1!$K$3:$N$300,4,0),"NÃO")</f>
        <v>0.04</v>
      </c>
      <c r="B938" s="7">
        <v>1798</v>
      </c>
      <c r="C938" s="7" t="s">
        <v>1012</v>
      </c>
      <c r="D938" s="7" t="s">
        <v>63</v>
      </c>
      <c r="E938" s="7" t="s">
        <v>898</v>
      </c>
      <c r="F938" s="15">
        <f>[2]!Tabela15[[#This Row],[Preço PIS/Cofins/ICMS]]*1.1</f>
        <v>23.804000000000002</v>
      </c>
      <c r="G938" s="10"/>
    </row>
    <row r="939" spans="1:7" ht="15" customHeight="1" x14ac:dyDescent="0.25">
      <c r="A939">
        <f>IFERROR(VLOOKUP(Tabela15[[#This Row],[Produto]],[1]Planilha1!$K$3:$N$300,4,0),"NÃO")</f>
        <v>0.04</v>
      </c>
      <c r="B939" s="7">
        <v>1799</v>
      </c>
      <c r="C939" s="7" t="s">
        <v>1013</v>
      </c>
      <c r="D939" s="7" t="s">
        <v>63</v>
      </c>
      <c r="E939" s="7" t="s">
        <v>898</v>
      </c>
      <c r="F939" s="15">
        <f>[2]!Tabela15[[#This Row],[Preço PIS/Cofins/ICMS]]*1.1</f>
        <v>53.856000000000009</v>
      </c>
      <c r="G939" s="10"/>
    </row>
    <row r="940" spans="1:7" ht="15" customHeight="1" x14ac:dyDescent="0.25">
      <c r="A940">
        <f>IFERROR(VLOOKUP(Tabela15[[#This Row],[Produto]],[1]Planilha1!$K$3:$N$300,4,0),"NÃO")</f>
        <v>0.04</v>
      </c>
      <c r="B940" s="7">
        <v>1802</v>
      </c>
      <c r="C940" s="7" t="s">
        <v>1014</v>
      </c>
      <c r="D940" s="7" t="s">
        <v>63</v>
      </c>
      <c r="E940" s="7" t="s">
        <v>898</v>
      </c>
      <c r="F940" s="15">
        <f>[2]!Tabela15[[#This Row],[Preço PIS/Cofins/ICMS]]*1.1</f>
        <v>3.6520000000000001</v>
      </c>
      <c r="G940" s="10"/>
    </row>
    <row r="941" spans="1:7" ht="15" customHeight="1" x14ac:dyDescent="0.25">
      <c r="A941">
        <f>IFERROR(VLOOKUP(Tabela15[[#This Row],[Produto]],[1]Planilha1!$K$3:$N$300,4,0),"NÃO")</f>
        <v>0.04</v>
      </c>
      <c r="B941" s="7">
        <v>1803</v>
      </c>
      <c r="C941" s="7" t="s">
        <v>1015</v>
      </c>
      <c r="D941" s="7" t="s">
        <v>63</v>
      </c>
      <c r="E941" s="7" t="s">
        <v>898</v>
      </c>
      <c r="F941" s="15">
        <f>[2]!Tabela15[[#This Row],[Preço PIS/Cofins/ICMS]]*1.1</f>
        <v>6.3470000000000004</v>
      </c>
      <c r="G941" s="10"/>
    </row>
    <row r="942" spans="1:7" ht="15" customHeight="1" x14ac:dyDescent="0.25">
      <c r="A942">
        <f>IFERROR(VLOOKUP(Tabela15[[#This Row],[Produto]],[1]Planilha1!$K$3:$N$300,4,0),"NÃO")</f>
        <v>0.04</v>
      </c>
      <c r="B942" s="7">
        <v>1804</v>
      </c>
      <c r="C942" s="7" t="s">
        <v>1016</v>
      </c>
      <c r="D942" s="7" t="s">
        <v>63</v>
      </c>
      <c r="E942" s="7" t="s">
        <v>898</v>
      </c>
      <c r="F942" s="15">
        <f>[2]!Tabela15[[#This Row],[Preço PIS/Cofins/ICMS]]*1.1</f>
        <v>5.016</v>
      </c>
      <c r="G942" s="10"/>
    </row>
    <row r="943" spans="1:7" ht="15" customHeight="1" x14ac:dyDescent="0.25">
      <c r="A943">
        <f>IFERROR(VLOOKUP(Tabela15[[#This Row],[Produto]],[1]Planilha1!$K$3:$N$300,4,0),"NÃO")</f>
        <v>0.04</v>
      </c>
      <c r="B943" s="7">
        <v>1805</v>
      </c>
      <c r="C943" s="7" t="s">
        <v>1017</v>
      </c>
      <c r="D943" s="7" t="s">
        <v>63</v>
      </c>
      <c r="E943" s="7" t="s">
        <v>898</v>
      </c>
      <c r="F943" s="15">
        <f>[2]!Tabela15[[#This Row],[Preço PIS/Cofins/ICMS]]*1.1</f>
        <v>7.5680000000000005</v>
      </c>
      <c r="G943" s="10"/>
    </row>
    <row r="944" spans="1:7" ht="15" customHeight="1" x14ac:dyDescent="0.25">
      <c r="A944">
        <f>IFERROR(VLOOKUP(Tabela15[[#This Row],[Produto]],[1]Planilha1!$K$3:$N$300,4,0),"NÃO")</f>
        <v>0.04</v>
      </c>
      <c r="B944" s="7">
        <v>1806</v>
      </c>
      <c r="C944" s="7" t="s">
        <v>1018</v>
      </c>
      <c r="D944" s="7" t="s">
        <v>63</v>
      </c>
      <c r="E944" s="7" t="s">
        <v>898</v>
      </c>
      <c r="F944" s="15">
        <f>[2]!Tabela15[[#This Row],[Preço PIS/Cofins/ICMS]]*1.1</f>
        <v>8.6790000000000003</v>
      </c>
      <c r="G944" s="10"/>
    </row>
    <row r="945" spans="1:7" ht="15" customHeight="1" x14ac:dyDescent="0.25">
      <c r="A945">
        <f>IFERROR(VLOOKUP(Tabela15[[#This Row],[Produto]],[1]Planilha1!$K$3:$N$300,4,0),"NÃO")</f>
        <v>0.04</v>
      </c>
      <c r="B945" s="7">
        <v>1807</v>
      </c>
      <c r="C945" s="7" t="s">
        <v>1019</v>
      </c>
      <c r="D945" s="7" t="s">
        <v>63</v>
      </c>
      <c r="E945" s="7" t="s">
        <v>898</v>
      </c>
      <c r="F945" s="15">
        <f>[2]!Tabela15[[#This Row],[Preço PIS/Cofins/ICMS]]*1.1</f>
        <v>26.763000000000002</v>
      </c>
      <c r="G945" s="10"/>
    </row>
    <row r="946" spans="1:7" ht="15" customHeight="1" x14ac:dyDescent="0.25">
      <c r="A946">
        <f>IFERROR(VLOOKUP(Tabela15[[#This Row],[Produto]],[1]Planilha1!$K$3:$N$300,4,0),"NÃO")</f>
        <v>0.04</v>
      </c>
      <c r="B946" s="7">
        <v>1808</v>
      </c>
      <c r="C946" s="7" t="s">
        <v>1020</v>
      </c>
      <c r="D946" s="7" t="s">
        <v>63</v>
      </c>
      <c r="E946" s="7" t="s">
        <v>898</v>
      </c>
      <c r="F946" s="15">
        <f>[2]!Tabela15[[#This Row],[Preço PIS/Cofins/ICMS]]*1.1</f>
        <v>18.722000000000001</v>
      </c>
      <c r="G946" s="10"/>
    </row>
    <row r="947" spans="1:7" ht="15" customHeight="1" x14ac:dyDescent="0.25">
      <c r="A947">
        <f>IFERROR(VLOOKUP(Tabela15[[#This Row],[Produto]],[1]Planilha1!$K$3:$N$300,4,0),"NÃO")</f>
        <v>0.04</v>
      </c>
      <c r="B947" s="7">
        <v>1809</v>
      </c>
      <c r="C947" s="7" t="s">
        <v>1021</v>
      </c>
      <c r="D947" s="7" t="s">
        <v>63</v>
      </c>
      <c r="E947" s="7" t="s">
        <v>898</v>
      </c>
      <c r="F947" s="15">
        <f>[2]!Tabela15[[#This Row],[Preço PIS/Cofins/ICMS]]*1.1</f>
        <v>16.775000000000002</v>
      </c>
      <c r="G947" s="10"/>
    </row>
    <row r="948" spans="1:7" ht="15" customHeight="1" x14ac:dyDescent="0.25">
      <c r="A948">
        <f>IFERROR(VLOOKUP(Tabela15[[#This Row],[Produto]],[1]Planilha1!$K$3:$N$300,4,0),"NÃO")</f>
        <v>0.04</v>
      </c>
      <c r="B948" s="7">
        <v>1810</v>
      </c>
      <c r="C948" s="7" t="s">
        <v>1022</v>
      </c>
      <c r="D948" s="7" t="s">
        <v>63</v>
      </c>
      <c r="E948" s="7" t="s">
        <v>898</v>
      </c>
      <c r="F948" s="15">
        <f>[2]!Tabela15[[#This Row],[Preço PIS/Cofins/ICMS]]*1.1</f>
        <v>25.003000000000004</v>
      </c>
      <c r="G948" s="10"/>
    </row>
    <row r="949" spans="1:7" ht="15" customHeight="1" x14ac:dyDescent="0.25">
      <c r="A949">
        <f>IFERROR(VLOOKUP(Tabela15[[#This Row],[Produto]],[1]Planilha1!$K$3:$N$300,4,0),"NÃO")</f>
        <v>0.04</v>
      </c>
      <c r="B949" s="7">
        <v>1811</v>
      </c>
      <c r="C949" s="7" t="s">
        <v>1023</v>
      </c>
      <c r="D949" s="7" t="s">
        <v>63</v>
      </c>
      <c r="E949" s="7" t="s">
        <v>898</v>
      </c>
      <c r="F949" s="15">
        <f>[2]!Tabela15[[#This Row],[Preço PIS/Cofins/ICMS]]*1.1</f>
        <v>25.311000000000003</v>
      </c>
      <c r="G949" s="10"/>
    </row>
    <row r="950" spans="1:7" ht="15" customHeight="1" x14ac:dyDescent="0.25">
      <c r="A950">
        <f>IFERROR(VLOOKUP(Tabela15[[#This Row],[Produto]],[1]Planilha1!$K$3:$N$300,4,0),"NÃO")</f>
        <v>0.04</v>
      </c>
      <c r="B950" s="7">
        <v>1812</v>
      </c>
      <c r="C950" s="7" t="s">
        <v>1024</v>
      </c>
      <c r="D950" s="7" t="s">
        <v>63</v>
      </c>
      <c r="E950" s="7" t="s">
        <v>898</v>
      </c>
      <c r="F950" s="15">
        <f>[2]!Tabela15[[#This Row],[Preço PIS/Cofins/ICMS]]*1.1</f>
        <v>55.913000000000004</v>
      </c>
      <c r="G950" s="10"/>
    </row>
    <row r="951" spans="1:7" ht="15" customHeight="1" x14ac:dyDescent="0.25">
      <c r="A951">
        <f>IFERROR(VLOOKUP(Tabela15[[#This Row],[Produto]],[1]Planilha1!$K$3:$N$300,4,0),"NÃO")</f>
        <v>0.04</v>
      </c>
      <c r="B951" s="7">
        <v>1813</v>
      </c>
      <c r="C951" s="7" t="s">
        <v>1025</v>
      </c>
      <c r="D951" s="7" t="s">
        <v>63</v>
      </c>
      <c r="E951" s="7" t="s">
        <v>898</v>
      </c>
      <c r="F951" s="15">
        <f>[2]!Tabela15[[#This Row],[Preço PIS/Cofins/ICMS]]*1.1</f>
        <v>60.346000000000004</v>
      </c>
      <c r="G951" s="10"/>
    </row>
    <row r="952" spans="1:7" ht="15" customHeight="1" x14ac:dyDescent="0.25">
      <c r="A952">
        <f>IFERROR(VLOOKUP(Tabela15[[#This Row],[Produto]],[1]Planilha1!$K$3:$N$300,4,0),"NÃO")</f>
        <v>0.04</v>
      </c>
      <c r="B952" s="7">
        <v>1814</v>
      </c>
      <c r="C952" s="7" t="s">
        <v>1026</v>
      </c>
      <c r="D952" s="7" t="s">
        <v>63</v>
      </c>
      <c r="E952" s="7" t="s">
        <v>898</v>
      </c>
      <c r="F952" s="15">
        <f>[2]!Tabela15[[#This Row],[Preço PIS/Cofins/ICMS]]*1.1</f>
        <v>126.83000000000001</v>
      </c>
      <c r="G952" s="10"/>
    </row>
    <row r="953" spans="1:7" ht="15" customHeight="1" x14ac:dyDescent="0.25">
      <c r="A953">
        <f>IFERROR(VLOOKUP(Tabela15[[#This Row],[Produto]],[1]Planilha1!$K$3:$N$300,4,0),"NÃO")</f>
        <v>0.04</v>
      </c>
      <c r="B953" s="7">
        <v>1815</v>
      </c>
      <c r="C953" s="7" t="s">
        <v>1027</v>
      </c>
      <c r="D953" s="7" t="s">
        <v>63</v>
      </c>
      <c r="E953" s="7" t="s">
        <v>898</v>
      </c>
      <c r="F953" s="15">
        <f>[2]!Tabela15[[#This Row],[Preço PIS/Cofins/ICMS]]*1.1</f>
        <v>121.49500000000002</v>
      </c>
      <c r="G953" s="10"/>
    </row>
    <row r="954" spans="1:7" ht="15" customHeight="1" x14ac:dyDescent="0.25">
      <c r="A954">
        <f>IFERROR(VLOOKUP(Tabela15[[#This Row],[Produto]],[1]Planilha1!$K$3:$N$300,4,0),"NÃO")</f>
        <v>0.04</v>
      </c>
      <c r="B954" s="7">
        <v>1816</v>
      </c>
      <c r="C954" s="7" t="s">
        <v>1028</v>
      </c>
      <c r="D954" s="7" t="s">
        <v>63</v>
      </c>
      <c r="E954" s="7" t="s">
        <v>898</v>
      </c>
      <c r="F954" s="15">
        <f>[2]!Tabela15[[#This Row],[Preço PIS/Cofins/ICMS]]*1.1</f>
        <v>225.74200000000002</v>
      </c>
      <c r="G954" s="10"/>
    </row>
    <row r="955" spans="1:7" ht="15" customHeight="1" x14ac:dyDescent="0.25">
      <c r="A955">
        <f>IFERROR(VLOOKUP(Tabela15[[#This Row],[Produto]],[1]Planilha1!$K$3:$N$300,4,0),"NÃO")</f>
        <v>0.04</v>
      </c>
      <c r="B955" s="7">
        <v>1817</v>
      </c>
      <c r="C955" s="7" t="s">
        <v>1029</v>
      </c>
      <c r="D955" s="7" t="s">
        <v>63</v>
      </c>
      <c r="E955" s="7" t="s">
        <v>898</v>
      </c>
      <c r="F955" s="15">
        <f>[2]!Tabela15[[#This Row],[Preço PIS/Cofins/ICMS]]*1.1</f>
        <v>264.79200000000003</v>
      </c>
      <c r="G955" s="10"/>
    </row>
    <row r="956" spans="1:7" ht="15" customHeight="1" x14ac:dyDescent="0.25">
      <c r="A956">
        <f>IFERROR(VLOOKUP(Tabela15[[#This Row],[Produto]],[1]Planilha1!$K$3:$N$300,4,0),"NÃO")</f>
        <v>0.04</v>
      </c>
      <c r="B956" s="7">
        <v>1818</v>
      </c>
      <c r="C956" s="7" t="s">
        <v>1030</v>
      </c>
      <c r="D956" s="7" t="s">
        <v>63</v>
      </c>
      <c r="E956" s="7" t="s">
        <v>898</v>
      </c>
      <c r="F956" s="15">
        <f>[2]!Tabela15[[#This Row],[Preço PIS/Cofins/ICMS]]*1.1</f>
        <v>10.384</v>
      </c>
      <c r="G956" s="10"/>
    </row>
    <row r="957" spans="1:7" ht="15" customHeight="1" x14ac:dyDescent="0.25">
      <c r="A957">
        <f>IFERROR(VLOOKUP(Tabela15[[#This Row],[Produto]],[1]Planilha1!$K$3:$N$300,4,0),"NÃO")</f>
        <v>0.04</v>
      </c>
      <c r="B957" s="7">
        <v>1819</v>
      </c>
      <c r="C957" s="7" t="s">
        <v>1031</v>
      </c>
      <c r="D957" s="7" t="s">
        <v>63</v>
      </c>
      <c r="E957" s="7" t="s">
        <v>898</v>
      </c>
      <c r="F957" s="15">
        <f>[2]!Tabela15[[#This Row],[Preço PIS/Cofins/ICMS]]*1.1</f>
        <v>17.556000000000001</v>
      </c>
      <c r="G957" s="10"/>
    </row>
    <row r="958" spans="1:7" ht="15" customHeight="1" x14ac:dyDescent="0.25">
      <c r="A958">
        <f>IFERROR(VLOOKUP(Tabela15[[#This Row],[Produto]],[1]Planilha1!$K$3:$N$300,4,0),"NÃO")</f>
        <v>0.04</v>
      </c>
      <c r="B958" s="7">
        <v>1820</v>
      </c>
      <c r="C958" s="7" t="s">
        <v>1032</v>
      </c>
      <c r="D958" s="7" t="s">
        <v>63</v>
      </c>
      <c r="E958" s="7" t="s">
        <v>898</v>
      </c>
      <c r="F958" s="15">
        <f>[2]!Tabela15[[#This Row],[Preço PIS/Cofins/ICMS]]*1.1</f>
        <v>15.730000000000002</v>
      </c>
      <c r="G958" s="10"/>
    </row>
    <row r="959" spans="1:7" ht="15" customHeight="1" x14ac:dyDescent="0.25">
      <c r="A959">
        <f>IFERROR(VLOOKUP(Tabela15[[#This Row],[Produto]],[1]Planilha1!$K$3:$N$300,4,0),"NÃO")</f>
        <v>0.04</v>
      </c>
      <c r="B959" s="7">
        <v>1821</v>
      </c>
      <c r="C959" s="7" t="s">
        <v>1033</v>
      </c>
      <c r="D959" s="7" t="s">
        <v>63</v>
      </c>
      <c r="E959" s="7" t="s">
        <v>898</v>
      </c>
      <c r="F959" s="15">
        <f>[2]!Tabela15[[#This Row],[Preço PIS/Cofins/ICMS]]*1.1</f>
        <v>30.041</v>
      </c>
      <c r="G959" s="10"/>
    </row>
    <row r="960" spans="1:7" ht="15" customHeight="1" x14ac:dyDescent="0.25">
      <c r="A960">
        <f>IFERROR(VLOOKUP(Tabela15[[#This Row],[Produto]],[1]Planilha1!$K$3:$N$300,4,0),"NÃO")</f>
        <v>0.04</v>
      </c>
      <c r="B960" s="7">
        <v>1822</v>
      </c>
      <c r="C960" s="7" t="s">
        <v>1034</v>
      </c>
      <c r="D960" s="7" t="s">
        <v>63</v>
      </c>
      <c r="E960" s="7" t="s">
        <v>898</v>
      </c>
      <c r="F960" s="15">
        <f>[2]!Tabela15[[#This Row],[Preço PIS/Cofins/ICMS]]*1.1</f>
        <v>21.593</v>
      </c>
      <c r="G960" s="10"/>
    </row>
    <row r="961" spans="1:7" ht="15" customHeight="1" x14ac:dyDescent="0.25">
      <c r="A961">
        <f>IFERROR(VLOOKUP(Tabela15[[#This Row],[Produto]],[1]Planilha1!$K$3:$N$300,4,0),"NÃO")</f>
        <v>0.04</v>
      </c>
      <c r="B961" s="7">
        <v>1823</v>
      </c>
      <c r="C961" s="7" t="s">
        <v>1035</v>
      </c>
      <c r="D961" s="7" t="s">
        <v>63</v>
      </c>
      <c r="E961" s="7" t="s">
        <v>898</v>
      </c>
      <c r="F961" s="15">
        <f>[2]!Tabela15[[#This Row],[Preço PIS/Cofins/ICMS]]*1.1</f>
        <v>64.911000000000001</v>
      </c>
      <c r="G961" s="10"/>
    </row>
    <row r="962" spans="1:7" ht="15" customHeight="1" x14ac:dyDescent="0.25">
      <c r="A962">
        <f>IFERROR(VLOOKUP(Tabela15[[#This Row],[Produto]],[1]Planilha1!$K$3:$N$300,4,0),"NÃO")</f>
        <v>0.04</v>
      </c>
      <c r="B962" s="7">
        <v>1824</v>
      </c>
      <c r="C962" s="7" t="s">
        <v>1036</v>
      </c>
      <c r="D962" s="7" t="s">
        <v>63</v>
      </c>
      <c r="E962" s="7" t="s">
        <v>898</v>
      </c>
      <c r="F962" s="15">
        <f>[2]!Tabela15[[#This Row],[Preço PIS/Cofins/ICMS]]*1.1</f>
        <v>6.8970000000000002</v>
      </c>
      <c r="G962" s="10"/>
    </row>
    <row r="963" spans="1:7" ht="15" customHeight="1" x14ac:dyDescent="0.25">
      <c r="A963">
        <f>IFERROR(VLOOKUP(Tabela15[[#This Row],[Produto]],[1]Planilha1!$K$3:$N$300,4,0),"NÃO")</f>
        <v>0.04</v>
      </c>
      <c r="B963" s="7">
        <v>1825</v>
      </c>
      <c r="C963" s="7" t="s">
        <v>1037</v>
      </c>
      <c r="D963" s="7" t="s">
        <v>63</v>
      </c>
      <c r="E963" s="7" t="s">
        <v>898</v>
      </c>
      <c r="F963" s="15">
        <f>[2]!Tabela15[[#This Row],[Preço PIS/Cofins/ICMS]]*1.1</f>
        <v>13.992000000000003</v>
      </c>
      <c r="G963" s="10"/>
    </row>
    <row r="964" spans="1:7" ht="15" customHeight="1" x14ac:dyDescent="0.25">
      <c r="A964">
        <f>IFERROR(VLOOKUP(Tabela15[[#This Row],[Produto]],[1]Planilha1!$K$3:$N$300,4,0),"NÃO")</f>
        <v>0.04</v>
      </c>
      <c r="B964" s="7">
        <v>1826</v>
      </c>
      <c r="C964" s="7" t="s">
        <v>1038</v>
      </c>
      <c r="D964" s="7" t="s">
        <v>63</v>
      </c>
      <c r="E964" s="7" t="s">
        <v>898</v>
      </c>
      <c r="F964" s="15">
        <f>[2]!Tabela15[[#This Row],[Preço PIS/Cofins/ICMS]]*1.1</f>
        <v>17.347000000000001</v>
      </c>
      <c r="G964" s="10"/>
    </row>
    <row r="965" spans="1:7" ht="15" customHeight="1" x14ac:dyDescent="0.25">
      <c r="A965">
        <f>IFERROR(VLOOKUP(Tabela15[[#This Row],[Produto]],[1]Planilha1!$K$3:$N$300,4,0),"NÃO")</f>
        <v>0.04</v>
      </c>
      <c r="B965" s="7">
        <v>1827</v>
      </c>
      <c r="C965" s="7" t="s">
        <v>1039</v>
      </c>
      <c r="D965" s="7" t="s">
        <v>63</v>
      </c>
      <c r="E965" s="7" t="s">
        <v>1040</v>
      </c>
      <c r="F965" s="15">
        <f>[2]!Tabela15[[#This Row],[Preço PIS/Cofins/ICMS]]*1.1</f>
        <v>150.887</v>
      </c>
      <c r="G965" s="10"/>
    </row>
    <row r="966" spans="1:7" ht="15" customHeight="1" x14ac:dyDescent="0.25">
      <c r="A966">
        <f>IFERROR(VLOOKUP(Tabela15[[#This Row],[Produto]],[1]Planilha1!$K$3:$N$300,4,0),"NÃO")</f>
        <v>0.04</v>
      </c>
      <c r="B966" s="7">
        <v>1828</v>
      </c>
      <c r="C966" s="7" t="s">
        <v>1041</v>
      </c>
      <c r="D966" s="7" t="s">
        <v>63</v>
      </c>
      <c r="E966" s="7" t="s">
        <v>1040</v>
      </c>
      <c r="F966" s="15">
        <f>[2]!Tabela15[[#This Row],[Preço PIS/Cofins/ICMS]]*1.1</f>
        <v>168.35500000000002</v>
      </c>
      <c r="G966" s="10"/>
    </row>
    <row r="967" spans="1:7" ht="15" customHeight="1" x14ac:dyDescent="0.25">
      <c r="A967">
        <f>IFERROR(VLOOKUP(Tabela15[[#This Row],[Produto]],[1]Planilha1!$K$3:$N$300,4,0),"NÃO")</f>
        <v>0.04</v>
      </c>
      <c r="B967" s="7">
        <v>1829</v>
      </c>
      <c r="C967" s="7" t="s">
        <v>1042</v>
      </c>
      <c r="D967" s="7" t="s">
        <v>63</v>
      </c>
      <c r="E967" s="7" t="s">
        <v>1040</v>
      </c>
      <c r="F967" s="15">
        <f>[2]!Tabela15[[#This Row],[Preço PIS/Cofins/ICMS]]*1.1</f>
        <v>228.16200000000001</v>
      </c>
      <c r="G967" s="10"/>
    </row>
    <row r="968" spans="1:7" ht="15" customHeight="1" x14ac:dyDescent="0.25">
      <c r="A968">
        <f>IFERROR(VLOOKUP(Tabela15[[#This Row],[Produto]],[1]Planilha1!$K$3:$N$300,4,0),"NÃO")</f>
        <v>0.04</v>
      </c>
      <c r="B968" s="7">
        <v>1830</v>
      </c>
      <c r="C968" s="7" t="s">
        <v>1043</v>
      </c>
      <c r="D968" s="7" t="s">
        <v>63</v>
      </c>
      <c r="E968" s="7" t="s">
        <v>1040</v>
      </c>
      <c r="F968" s="15">
        <f>[2]!Tabela15[[#This Row],[Preço PIS/Cofins/ICMS]]*1.1</f>
        <v>215.55600000000004</v>
      </c>
      <c r="G968" s="10"/>
    </row>
    <row r="969" spans="1:7" ht="15" customHeight="1" x14ac:dyDescent="0.25">
      <c r="A969">
        <f>IFERROR(VLOOKUP(Tabela15[[#This Row],[Produto]],[1]Planilha1!$K$3:$N$300,4,0),"NÃO")</f>
        <v>0.04</v>
      </c>
      <c r="B969" s="7">
        <v>1831</v>
      </c>
      <c r="C969" s="7" t="s">
        <v>1044</v>
      </c>
      <c r="D969" s="7" t="s">
        <v>63</v>
      </c>
      <c r="E969" s="7" t="s">
        <v>1040</v>
      </c>
      <c r="F969" s="15">
        <f>[2]!Tabela15[[#This Row],[Preço PIS/Cofins/ICMS]]*1.1</f>
        <v>256.553</v>
      </c>
      <c r="G969" s="10"/>
    </row>
    <row r="970" spans="1:7" ht="15" customHeight="1" x14ac:dyDescent="0.25">
      <c r="A970">
        <f>IFERROR(VLOOKUP(Tabela15[[#This Row],[Produto]],[1]Planilha1!$K$3:$N$300,4,0),"NÃO")</f>
        <v>0.04</v>
      </c>
      <c r="B970" s="7">
        <v>1832</v>
      </c>
      <c r="C970" s="7" t="s">
        <v>1045</v>
      </c>
      <c r="D970" s="7" t="s">
        <v>63</v>
      </c>
      <c r="E970" s="7" t="s">
        <v>1040</v>
      </c>
      <c r="F970" s="15">
        <f>[2]!Tabela15[[#This Row],[Preço PIS/Cofins/ICMS]]*1.1</f>
        <v>421.87200000000001</v>
      </c>
      <c r="G970" s="10"/>
    </row>
    <row r="971" spans="1:7" ht="15" customHeight="1" x14ac:dyDescent="0.25">
      <c r="A971">
        <f>IFERROR(VLOOKUP(Tabela15[[#This Row],[Produto]],[1]Planilha1!$K$3:$N$300,4,0),"NÃO")</f>
        <v>0.04</v>
      </c>
      <c r="B971" s="7">
        <v>1833</v>
      </c>
      <c r="C971" s="7" t="s">
        <v>1046</v>
      </c>
      <c r="D971" s="7" t="s">
        <v>63</v>
      </c>
      <c r="E971" s="7" t="s">
        <v>1040</v>
      </c>
      <c r="F971" s="15">
        <f>[2]!Tabela15[[#This Row],[Preço PIS/Cofins/ICMS]]*1.1</f>
        <v>489.64300000000003</v>
      </c>
      <c r="G971" s="10"/>
    </row>
    <row r="972" spans="1:7" ht="15" customHeight="1" x14ac:dyDescent="0.25">
      <c r="A972">
        <f>IFERROR(VLOOKUP(Tabela15[[#This Row],[Produto]],[1]Planilha1!$K$3:$N$300,4,0),"NÃO")</f>
        <v>0.04</v>
      </c>
      <c r="B972" s="7">
        <v>1834</v>
      </c>
      <c r="C972" s="7" t="s">
        <v>1047</v>
      </c>
      <c r="D972" s="7" t="s">
        <v>63</v>
      </c>
      <c r="E972" s="7" t="s">
        <v>1040</v>
      </c>
      <c r="F972" s="15">
        <f>[2]!Tabela15[[#This Row],[Preço PIS/Cofins/ICMS]]*1.1</f>
        <v>778.20600000000013</v>
      </c>
      <c r="G972" s="10"/>
    </row>
    <row r="973" spans="1:7" ht="15" customHeight="1" x14ac:dyDescent="0.25">
      <c r="A973">
        <f>IFERROR(VLOOKUP(Tabela15[[#This Row],[Produto]],[1]Planilha1!$K$3:$N$300,4,0),"NÃO")</f>
        <v>0.04</v>
      </c>
      <c r="B973" s="7">
        <v>1835</v>
      </c>
      <c r="C973" s="7" t="s">
        <v>1048</v>
      </c>
      <c r="D973" s="7" t="s">
        <v>63</v>
      </c>
      <c r="E973" s="7" t="s">
        <v>1040</v>
      </c>
      <c r="F973" s="15">
        <f>[2]!Tabela15[[#This Row],[Preço PIS/Cofins/ICMS]]*1.1</f>
        <v>927.41000000000008</v>
      </c>
    </row>
    <row r="974" spans="1:7" ht="15" customHeight="1" x14ac:dyDescent="0.25">
      <c r="A974">
        <f>IFERROR(VLOOKUP(Tabela15[[#This Row],[Produto]],[1]Planilha1!$K$3:$N$300,4,0),"NÃO")</f>
        <v>0.04</v>
      </c>
      <c r="B974" s="7">
        <v>1836</v>
      </c>
      <c r="C974" s="7" t="s">
        <v>1049</v>
      </c>
      <c r="D974" s="7" t="s">
        <v>63</v>
      </c>
      <c r="E974" s="7" t="s">
        <v>1040</v>
      </c>
      <c r="F974" s="15">
        <f>[2]!Tabela15[[#This Row],[Preço PIS/Cofins/ICMS]]*1.1</f>
        <v>1128.6220000000001</v>
      </c>
    </row>
    <row r="975" spans="1:7" ht="15" customHeight="1" x14ac:dyDescent="0.25">
      <c r="A975">
        <f>IFERROR(VLOOKUP(Tabela15[[#This Row],[Produto]],[1]Planilha1!$K$3:$N$300,4,0),"NÃO")</f>
        <v>0.04</v>
      </c>
      <c r="B975" s="7">
        <v>1838</v>
      </c>
      <c r="C975" s="7" t="s">
        <v>1050</v>
      </c>
      <c r="D975" s="7" t="s">
        <v>63</v>
      </c>
      <c r="E975" s="7" t="s">
        <v>1040</v>
      </c>
      <c r="F975" s="15">
        <f>[2]!Tabela15[[#This Row],[Preço PIS/Cofins/ICMS]]*1.1</f>
        <v>238.72200000000004</v>
      </c>
    </row>
    <row r="976" spans="1:7" ht="15" customHeight="1" x14ac:dyDescent="0.25">
      <c r="A976">
        <f>IFERROR(VLOOKUP(Tabela15[[#This Row],[Produto]],[1]Planilha1!$K$3:$N$300,4,0),"NÃO")</f>
        <v>0.04</v>
      </c>
      <c r="B976" s="7">
        <v>1840</v>
      </c>
      <c r="C976" s="7" t="s">
        <v>1051</v>
      </c>
      <c r="D976" s="7" t="s">
        <v>63</v>
      </c>
      <c r="E976" s="7" t="s">
        <v>1040</v>
      </c>
      <c r="F976" s="15">
        <f>[2]!Tabela15[[#This Row],[Preço PIS/Cofins/ICMS]]*1.1</f>
        <v>975.63400000000013</v>
      </c>
    </row>
    <row r="977" spans="1:6" ht="15" customHeight="1" x14ac:dyDescent="0.25">
      <c r="A977">
        <f>IFERROR(VLOOKUP(Tabela15[[#This Row],[Produto]],[1]Planilha1!$K$3:$N$300,4,0),"NÃO")</f>
        <v>0.04</v>
      </c>
      <c r="B977" s="7">
        <v>1841</v>
      </c>
      <c r="C977" s="7" t="s">
        <v>1052</v>
      </c>
      <c r="D977" s="7" t="s">
        <v>63</v>
      </c>
      <c r="E977" s="7" t="s">
        <v>1040</v>
      </c>
      <c r="F977" s="15">
        <f>[2]!Tabela15[[#This Row],[Preço PIS/Cofins/ICMS]]*1.1</f>
        <v>921.55799999999999</v>
      </c>
    </row>
    <row r="978" spans="1:6" ht="15" customHeight="1" x14ac:dyDescent="0.25">
      <c r="A978">
        <f>IFERROR(VLOOKUP(Tabela15[[#This Row],[Produto]],[1]Planilha1!$K$3:$N$300,4,0),"NÃO")</f>
        <v>0.04</v>
      </c>
      <c r="B978" s="7">
        <v>1842</v>
      </c>
      <c r="C978" s="7" t="s">
        <v>1053</v>
      </c>
      <c r="D978" s="7" t="s">
        <v>63</v>
      </c>
      <c r="E978" s="7" t="s">
        <v>1040</v>
      </c>
      <c r="F978" s="15">
        <f>[2]!Tabela15[[#This Row],[Preço PIS/Cofins/ICMS]]*1.1</f>
        <v>1320.8140000000001</v>
      </c>
    </row>
    <row r="979" spans="1:6" ht="15" customHeight="1" x14ac:dyDescent="0.25">
      <c r="A979">
        <f>IFERROR(VLOOKUP(Tabela15[[#This Row],[Produto]],[1]Planilha1!$K$3:$N$300,4,0),"NÃO")</f>
        <v>0.04</v>
      </c>
      <c r="B979" s="7">
        <v>1844</v>
      </c>
      <c r="C979" s="7" t="s">
        <v>1054</v>
      </c>
      <c r="D979" s="7" t="s">
        <v>63</v>
      </c>
      <c r="E979" s="7" t="s">
        <v>1040</v>
      </c>
      <c r="F979" s="15">
        <f>[2]!Tabela15[[#This Row],[Preço PIS/Cofins/ICMS]]*1.1</f>
        <v>631.76300000000015</v>
      </c>
    </row>
    <row r="980" spans="1:6" ht="15" customHeight="1" x14ac:dyDescent="0.25">
      <c r="A980">
        <f>IFERROR(VLOOKUP(Tabela15[[#This Row],[Produto]],[1]Planilha1!$K$3:$N$300,4,0),"NÃO")</f>
        <v>0.04</v>
      </c>
      <c r="B980" s="7">
        <v>1845</v>
      </c>
      <c r="C980" s="7" t="s">
        <v>1055</v>
      </c>
      <c r="D980" s="7" t="s">
        <v>63</v>
      </c>
      <c r="E980" s="7" t="s">
        <v>898</v>
      </c>
      <c r="F980" s="15">
        <f>[2]!Tabela15[[#This Row],[Preço PIS/Cofins/ICMS]]*1.1</f>
        <v>7.128000000000001</v>
      </c>
    </row>
    <row r="981" spans="1:6" ht="15" customHeight="1" x14ac:dyDescent="0.25">
      <c r="A981">
        <f>IFERROR(VLOOKUP(Tabela15[[#This Row],[Produto]],[1]Planilha1!$K$3:$N$300,4,0),"NÃO")</f>
        <v>0.04</v>
      </c>
      <c r="B981" s="7">
        <v>1889</v>
      </c>
      <c r="C981" s="7" t="s">
        <v>1056</v>
      </c>
      <c r="D981" s="7" t="s">
        <v>63</v>
      </c>
      <c r="E981" s="7" t="s">
        <v>1040</v>
      </c>
      <c r="F981" s="15">
        <f>[2]!Tabela15[[#This Row],[Preço PIS/Cofins/ICMS]]*1.1</f>
        <v>561.18700000000001</v>
      </c>
    </row>
    <row r="982" spans="1:6" ht="15" customHeight="1" x14ac:dyDescent="0.25">
      <c r="A982">
        <f>IFERROR(VLOOKUP(Tabela15[[#This Row],[Produto]],[1]Planilha1!$K$3:$N$300,4,0),"NÃO")</f>
        <v>0.04</v>
      </c>
      <c r="B982" s="7">
        <v>1890</v>
      </c>
      <c r="C982" s="7" t="s">
        <v>1057</v>
      </c>
      <c r="D982" s="7" t="s">
        <v>63</v>
      </c>
      <c r="E982" s="7" t="s">
        <v>1040</v>
      </c>
      <c r="F982" s="15">
        <f>[2]!Tabela15[[#This Row],[Preço PIS/Cofins/ICMS]]*1.1</f>
        <v>561.18700000000001</v>
      </c>
    </row>
    <row r="983" spans="1:6" ht="15" customHeight="1" x14ac:dyDescent="0.25">
      <c r="A983">
        <f>IFERROR(VLOOKUP(Tabela15[[#This Row],[Produto]],[1]Planilha1!$K$3:$N$300,4,0),"NÃO")</f>
        <v>0.04</v>
      </c>
      <c r="B983" s="7">
        <v>1892</v>
      </c>
      <c r="C983" s="7" t="s">
        <v>1058</v>
      </c>
      <c r="D983" s="7" t="s">
        <v>63</v>
      </c>
      <c r="E983" s="7" t="s">
        <v>898</v>
      </c>
      <c r="F983" s="15">
        <f>[2]!Tabela15[[#This Row],[Preço PIS/Cofins/ICMS]]*1.1</f>
        <v>63.921000000000006</v>
      </c>
    </row>
    <row r="984" spans="1:6" ht="15" customHeight="1" x14ac:dyDescent="0.25">
      <c r="A984">
        <f>IFERROR(VLOOKUP(Tabela15[[#This Row],[Produto]],[1]Planilha1!$K$3:$N$300,4,0),"NÃO")</f>
        <v>0.04</v>
      </c>
      <c r="B984" s="7">
        <v>1893</v>
      </c>
      <c r="C984" s="7" t="s">
        <v>1059</v>
      </c>
      <c r="D984" s="7" t="s">
        <v>63</v>
      </c>
      <c r="E984" s="7" t="s">
        <v>898</v>
      </c>
      <c r="F984" s="15">
        <f>[2]!Tabela15[[#This Row],[Preço PIS/Cofins/ICMS]]*1.1</f>
        <v>125.82900000000001</v>
      </c>
    </row>
    <row r="985" spans="1:6" ht="15" customHeight="1" x14ac:dyDescent="0.25"/>
    <row r="986" spans="1:6" x14ac:dyDescent="0.25">
      <c r="F986" s="10"/>
    </row>
  </sheetData>
  <phoneticPr fontId="5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nair de fatima tita</dc:creator>
  <cp:lastModifiedBy>katia teles</cp:lastModifiedBy>
  <dcterms:created xsi:type="dcterms:W3CDTF">2024-08-21T13:53:57Z</dcterms:created>
  <dcterms:modified xsi:type="dcterms:W3CDTF">2025-02-20T14:24:23Z</dcterms:modified>
</cp:coreProperties>
</file>