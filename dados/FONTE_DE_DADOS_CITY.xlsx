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06082CB-1D96-4283-986E-0A8B0C0B0B69}" xr6:coauthVersionLast="47" xr6:coauthVersionMax="47" xr10:uidLastSave="{00000000-0000-0000-0000-000000000000}"/>
  <bookViews>
    <workbookView xWindow="-108" yWindow="-108" windowWidth="23256" windowHeight="12576" xr2:uid="{DB361927-F9E3-431C-AA86-C850AEB8EB3E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11" i="1"/>
  <c r="J205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I263" i="1" l="1"/>
  <c r="G263" i="1"/>
</calcChain>
</file>

<file path=xl/sharedStrings.xml><?xml version="1.0" encoding="utf-8"?>
<sst xmlns="http://schemas.openxmlformats.org/spreadsheetml/2006/main" count="530" uniqueCount="276">
  <si>
    <t>ADAPTADOR SOLDÁVEL COM FLANGES PARA CAIXA DÁGUA EM PVC - 25 mm x 3/4` (NBR - 5648)</t>
  </si>
  <si>
    <t>ADAPTADOR SOLDÁVEL COM FLANGES PARA CAIXA DÁGUA EM PVC - 50 mm x 1.1/2`(NBR - 5648)</t>
  </si>
  <si>
    <t>ADAPTADOR SOLDÁVEL COM FLANGES PARA CAIXA DÁGUA EM PVC - 60 mm x 2` (NBR - 5648)</t>
  </si>
  <si>
    <t>ADAPTADOR SOLDÁVEL COM FLANGES PARA CAIXA DÁGUA EM PVC - 75 mm x 2.1/2` (NBR - 5648)</t>
  </si>
  <si>
    <t>ADAPTADOR SOLDÁVEL LONGO COM FLANGES PARA CAIXA DÁGUA EM PVC - 110 mm x 4`(NBR - 5648)</t>
  </si>
  <si>
    <t>ADAPTADOR SOLDÁVEL LONGO COM FLANGES PARA CAIXA DÁGUA EM PVC - 85 mm x 3`(NBR - 5648)</t>
  </si>
  <si>
    <t>ADAPTADOR SOLDÁVEL PVC CURTO C/ BOLSA E ROSCA - 110 mm x 4` (NBR - 5648)</t>
  </si>
  <si>
    <t>ADAPTADOR SOLDÁVEL PVC CURTO C/ BOLSA E ROSCA - 25 mm x 3/4` (NBR - 5648)</t>
  </si>
  <si>
    <t>ADAPTADOR SOLDÁVEL PVC CURTO C/ BOLSA E ROSCA - 32 mm x 1` (NBR - 5648)</t>
  </si>
  <si>
    <t>ADAPTADOR SOLDÁVEL PVC CURTO C/ BOLSA E ROSCA - 40 mm x 1. 1/4` (NBR - 5648)</t>
  </si>
  <si>
    <t>ADAPTADOR SOLDÁVEL PVC CURTO C/ BOLSA E ROSCA - 50 mm x 1.1/2` (NBR - 5648)</t>
  </si>
  <si>
    <t>ADAPTADOR SOLDÁVEL PVC CURTO C/ BOLSA E ROSCA - 75 mm x 2. 1/2` (NBR - 5648)</t>
  </si>
  <si>
    <t>ADESIVO CPVC 175G</t>
  </si>
  <si>
    <t>ADESIVO CPVC 850G</t>
  </si>
  <si>
    <t>ADESIVO PVC 850G</t>
  </si>
  <si>
    <t>ANEL DE VEDAÇÃO PARA ESGOTO DN= 100 mm (NBR- 5688)</t>
  </si>
  <si>
    <t>ANEL DE VEDAÇÃO PARA ESGOTO DN= 150 mm (NBR- 5688)</t>
  </si>
  <si>
    <t>ANEL DE VEDAÇÃO PARA ESGOTO DN= 200 mm (NBR- 5688)</t>
  </si>
  <si>
    <t>ANEL DE VEDAÇÃO PARA ESGOTO DN= 40 mm (NBR- 5688)</t>
  </si>
  <si>
    <t>ANEL DE VEDAÇÃO PARA ESGOTO DN= 50 mm (NBR- 5688)</t>
  </si>
  <si>
    <t>ANEL DE VEDAÇÃO PARA ESGOTO DN= 75 mm (NBR- 5688)</t>
  </si>
  <si>
    <t>BUCHA DE REDUÇÃO EM PVC, ESGOTO SÉRIE NORMAL – 100 X 75 MM (NBR- 5688</t>
  </si>
  <si>
    <t>BUCHA DE REDUÇÃO EM PVC, ESGOTO SÉRIE NORMAL - 150 x 100 mm (NBR- 5688)</t>
  </si>
  <si>
    <t>BUCHA DE REDUÇÃO EM PVC, ESGOTO SÉRIE NORMAL - 50 x 40 mm (NBR- 5688)</t>
  </si>
  <si>
    <t>BUCHA DE REDUÇÃO EM PVC, ESGOTO SÉRIE NORMAL - 75 x 50 mm (NBR- 5688)</t>
  </si>
  <si>
    <t>BUCHA DE REDUÇÃO EM PVC, SOLDÁVEL - 60 x 40 mm (NBR - 5648)</t>
  </si>
  <si>
    <t>BUCHA DE REDUÇÃO EM PVC, SOLDÁVEL CURTA - 110 x 85 mm ((NBR - 5648)</t>
  </si>
  <si>
    <t>BUCHA DE REDUÇÃO EM PVC, SOLDÁVEL CURTA - 25 x 20 mm (NBR - 5648)</t>
  </si>
  <si>
    <t>BUCHA DE REDUÇÃO EM PVC, SOLDÁVEL CURTA - 32 x 25 mm(NBR - 5648)</t>
  </si>
  <si>
    <t>BUCHA DE REDUÇÃO EM PVC, SOLDÁVEL CURTA - 40 x 25 mm (NBR - 5648)</t>
  </si>
  <si>
    <t>BUCHA DE REDUÇÃO EM PVC, SOLDÁVEL CURTA - 40 x 32 mm (NBR - 5648)</t>
  </si>
  <si>
    <t>BUCHA DE REDUÇÃO EM PVC, SOLDÁVEL CURTA - 50 x 25 mm(NBR - 5648)</t>
  </si>
  <si>
    <t>BUCHA DE REDUÇÃO EM PVC, SOLDÁVEL CURTA - 50 x 40 mm (NBR - 5648)</t>
  </si>
  <si>
    <t>BUCHA DE REDUÇÃO EM PVC, SOLDÁVEL CURTA - 60 x 50 mm (NBR - 5648)</t>
  </si>
  <si>
    <t>BUCHA DE REDUÇÃO EM PVC, SOLDÁVEL CURTA - 75 x 60 mm (NBR - 5648)</t>
  </si>
  <si>
    <t>BUCHA DE REDUÇÃO EM PVC, SOLDÁVEL LONGA - 40 x 25 mm (NBR - 5648)</t>
  </si>
  <si>
    <t>BUCHA DE REDUÇÃO EM PVC, SOLDÁVEL LONGA - 50 x 25 mm (NBR - 5648)</t>
  </si>
  <si>
    <t>BUCHA DE REDUÇÃO EM PVC, SOLDÁVEL LONGA - 50 x 40 mm (NBR - 5648)</t>
  </si>
  <si>
    <t>BUCHA DE REDUÇÃO EM PVC, SOLDÁVEL LONGA - 75 x 50 mm (NBR - 5648)</t>
  </si>
  <si>
    <t>BUCHA DE REDUÇÃO EM PVC, SOLDÁVEL LONGA - 85 x 50 mm (NBR - 5648)</t>
  </si>
  <si>
    <t>CAP DE PVC SOLDÁVEL - 25 mm (NBR - 5648)</t>
  </si>
  <si>
    <t>CAP DE PVC SOLDÁVEL - 32 mm (NBR - 5648)</t>
  </si>
  <si>
    <t>CAP DE PVC SOLDÁVEL - 40 MM (NBR - 5648)</t>
  </si>
  <si>
    <t>CAP DE PVC SOLDÁVEL - 75 MM (NBR - 5648)</t>
  </si>
  <si>
    <t>CAP P/ ESGOTO SÉRIE NORMAL D= 100 mm (NBR- 5688)</t>
  </si>
  <si>
    <t>CAP P/ ESGOTO SÉRIE NORMAL D= 150 mm (NBR- 5688)</t>
  </si>
  <si>
    <t>CAP P/ ESGOTO SÉRIE NORMAL D= 40 mm (NBR- 5688)</t>
  </si>
  <si>
    <t>CAP P/ ESGOTO SÉRIE NORMAL D= 50 mm (NBR- 5688)</t>
  </si>
  <si>
    <t>CAP P/ ESGOTO SÉRIE REFORÇADA D= 100 mm (NBR- 5688)</t>
  </si>
  <si>
    <t>CAP P/ ESGOTO SÉRIE REFORÇADA D= 150 mm (NBR- 5688)</t>
  </si>
  <si>
    <t>CORPO DA CAIXA SIFONADA EM PVC - D= 100 x 100 x 50 mm (NBR - 5648)</t>
  </si>
  <si>
    <t>CORPO DA CAIXA SIFONADA EM PVC - D= 150 x 185 x 75 mm (NBR - 5648)</t>
  </si>
  <si>
    <t>CORPO DE CAIXA SIFONADA EM PVC REDONDA C/ 5 ENTRADAS BRANCA 100 x 150 x 50MM</t>
  </si>
  <si>
    <t>CURVA 90º CURTA P/ ESGOTO SÉRIE NORMAL D= 40 mm (NBR- 5688)</t>
  </si>
  <si>
    <t>FITA VEDA ROSCA 18mm x 25m AMANCO</t>
  </si>
  <si>
    <t>JOELHO 45° DE PVC SOLDÁVEL - 110 mm (NBR - 5648)</t>
  </si>
  <si>
    <t>JOELHO 45° DE PVC SOLDÁVEL - 20 mm (NBR - 5648)</t>
  </si>
  <si>
    <t>JOELHO 45° DE PVC SOLDÁVEL - 25 mm (NBR - 5648)</t>
  </si>
  <si>
    <t>JOELHO 45° DE PVC SOLDÁVEL - 32 mm (NBR - 5648)</t>
  </si>
  <si>
    <t>JOELHO 45° DE PVC SOLDÁVEL - 40 mm (NBR - 5648)</t>
  </si>
  <si>
    <t>JOELHO 45° DE PVC SOLDÁVEL - 50 mm (NBR - 5648)</t>
  </si>
  <si>
    <t>JOELHO 45° DE PVC SOLDÁVEL - 60 mm (NBR - 5648)</t>
  </si>
  <si>
    <t>JOELHO 45° DE PVC SOLDÁVEL - 75 mm (NBR - 5648)</t>
  </si>
  <si>
    <t>JOELHO 45° DE PVC SOLDÁVEL - 85 mm (NBR - 5648)</t>
  </si>
  <si>
    <t>JOELHO 45° P/ ESGOTO SÉRIE NORMAL D= 100 mm (NBR- 5688)</t>
  </si>
  <si>
    <t>JOELHO 45° P/ ESGOTO SÉRIE NORMAL D= 150 mm (NBR- 5688)</t>
  </si>
  <si>
    <t>JOELHO 45° P/ ESGOTO SÉRIE NORMAL D= 40 mm (NBR- 5688)</t>
  </si>
  <si>
    <t>JOELHO 45° P/ ESGOTO SÉRIE NORMAL D= 50 mm (NBR- 5688)</t>
  </si>
  <si>
    <t>JOELHO 45° P/ ESGOTO SÉRIE NORMAL D= 75 mm (NBR- 5688)</t>
  </si>
  <si>
    <t>JOELHO 45° P/ ESGOTO SÉRIE REFORÇADA D= 100 mm (NBR- 5688)</t>
  </si>
  <si>
    <t>JOELHO 45° P/ ESGOTO SÉRIE REFORÇADA D= 150 mm (NBR- 5688)</t>
  </si>
  <si>
    <t>JOELHO 45° P/ ESGOTO SÉRIE REFORÇADA D= 75 mm (NBR- 5688)</t>
  </si>
  <si>
    <t>JOELHO 90º DE PVC SOLDÁVEL - 110 mm (NBR - 5648)</t>
  </si>
  <si>
    <t>JOELHO 90º DE PVC SOLDÁVEL - 20 mm (NBR - 5648)</t>
  </si>
  <si>
    <t>JOELHO 90º DE PVC SOLDÁVEL - 25 mm (NBR - 5648)</t>
  </si>
  <si>
    <t>JOELHO 90º DE PVC SOLDÁVEL - 32 mm (NBR - 5648)</t>
  </si>
  <si>
    <t>JOELHO 90º DE PVC SOLDÁVEL - 40 mm (NBR - 5648)</t>
  </si>
  <si>
    <t>JOELHO 90º DE PVC SOLDÁVEL - 50 mm (NBR - 5648)</t>
  </si>
  <si>
    <t>JOELHO 90º DE PVC SOLDÁVEL - 60 mm (NBR - 5648)</t>
  </si>
  <si>
    <t>JOELHO 90º DE PVC SOLDÁVEL - 75 mm (NBR - 5648)</t>
  </si>
  <si>
    <t>JOELHO 90º DE PVC SOLDÁVEL - 85 mm (NBR - 5648)</t>
  </si>
  <si>
    <t>JOELHO 90º DE PVC SOLDÁVEL C/ BUCHA DE LATÃO - 20 mm x 1/2` (NBR - 5648)</t>
  </si>
  <si>
    <t>JOELHO 90º DE PVC SOLDÁVEL C/ BUCHA DE LATÃO - 25 mm x 1/2` (NBR - 5648)</t>
  </si>
  <si>
    <t>JOELHO 90º DE PVC SOLDÁVEL C/ BUCHA DE LATÃO - 25 mm x 3/4` (NBR - 5648)</t>
  </si>
  <si>
    <t>JOELHO 90º P/ ESGOTO SÉRIE NORMAL BOLSA LONGA D= 40 mm (NBR- 5688)</t>
  </si>
  <si>
    <t>JOELHO 90º P/ ESGOTO SÉRIE NORMAL D= 100 mm (NBR- 5688)</t>
  </si>
  <si>
    <t>JOELHO 90º P/ ESGOTO SÉRIE NORMAL D= 150 mm (NBR- 5688)</t>
  </si>
  <si>
    <t>JOELHO 90º P/ ESGOTO SÉRIE NORMAL D= 40 mm (NBR- 5688)</t>
  </si>
  <si>
    <t>JOELHO 90º P/ ESGOTO SÉRIE NORMAL D= 40mm C/ ANEL</t>
  </si>
  <si>
    <t>JOELHO 90º P/ ESGOTO SÉRIE NORMAL D= 50 mm (NBR- 5688)</t>
  </si>
  <si>
    <t>JOELHO 90º P/ ESGOTO SÉRIE NORMAL D= 75 mm (NBR- 5688)</t>
  </si>
  <si>
    <t>JOELHO 90º P/ ESGOTO SÉRIE REFORÇADA D= 100 mm (NBR- 5688)</t>
  </si>
  <si>
    <t>JOELHO 90º P/ ESGOTO SÉRIE REFORÇADA D= 150 mm (NBR- 5688)</t>
  </si>
  <si>
    <t>JUNÇÃO DE REDUÇÃO SIMPLES P/ ESGOTO SÉRIE NORMAL D= 100 x 50 mm (NBR- 5688)</t>
  </si>
  <si>
    <t>JUNÇÃO DE REDUÇÃO SIMPLES P/ ESGOTO SÉRIE NORMAL D= 100 x 75 mm (NBR- 5688)</t>
  </si>
  <si>
    <t>JUNÇÃO DE REDUÇÃO SIMPLES P/ ESGOTO SÉRIE NORMAL D= 150 x 100 mm (NBR- 5688)</t>
  </si>
  <si>
    <t>JUNÇÃO DUPLA P/ ESGOTO SÉRIE REFORÇADA D= 100 x 100 mm (NBR- 5688)</t>
  </si>
  <si>
    <t>JUNÇÃO SIMPLES P/ ESGOTO SÉRIE NORMAL D= 100 x 100 mm (NBR- 5688)</t>
  </si>
  <si>
    <t>JUNÇÃO SIMPLES P/ ESGOTO SÉRIE NORMAL D= 150 x 150 mm (NBR- 5688)</t>
  </si>
  <si>
    <t>JUNÇÃO SIMPLES P/ ESGOTO SÉRIE NORMAL D= 40 x 40 mm (NBR- 5688)</t>
  </si>
  <si>
    <t>JUNÇÃO SIMPLES P/ ESGOTO SÉRIE NORMAL D= 50 x 50 mm (NBR- 5688)</t>
  </si>
  <si>
    <t>JUNÇÃO SIMPLES P/ ESGOTO SÉRIE NORMAL D= 75 x 75 mm (NBR- 5688)</t>
  </si>
  <si>
    <t>JUNÇÃO SIMPLES P/ ESGOTO SÉRIE REFORÇADA D= 100 mm (NBR- 5688)</t>
  </si>
  <si>
    <t>LUVA DE CORRER PVC P/ ESGOTO SÉRIE NORMAL D= 100 mm (NBR- 5688)</t>
  </si>
  <si>
    <t>LUVA DE CORRER PVC P/ ESGOTO SÉRIE NORMAL D= 50 mm (NBR- 5688)</t>
  </si>
  <si>
    <t>LUVA DE CORRER PVC P/ ESGOTO SÉRIE NORMAL D= 75 mm (NBR- 5688)</t>
  </si>
  <si>
    <t>LUVA DE PVC P/ ESGOTO SÉRIE NORMAL D= 100 mm (NBR- 5688)</t>
  </si>
  <si>
    <t>LUVA DE PVC P/ ESGOTO SÉRIE NORMAL D= 150 mm (NBR- 5688)</t>
  </si>
  <si>
    <t>LUVA DE PVC P/ ESGOTO SÉRIE NORMAL D= 40 mm (NBR- 5688)</t>
  </si>
  <si>
    <t>LUVA DE PVC P/ ESGOTO SÉRIE NORMAL D= 50 mm (NBR- 5688)</t>
  </si>
  <si>
    <t>LUVA DE PVC P/ ESGOTO SÉRIE NORMAL D= 75 mm (NBR- 5688)</t>
  </si>
  <si>
    <t>LUVA DE PVC P/ ESGOTO SÉRIE REFORÇADA D= 100 mm (NBR- 5688)</t>
  </si>
  <si>
    <t>LUVA DE PVC P/ ESGOTO SÉRIE REFORÇADA D= 150 mm (NBR- 5688)</t>
  </si>
  <si>
    <t>LUVA DE PVC P/ ESGOTO SÉRIE REFORÇADA D= 50 mm (NBR- 5688)</t>
  </si>
  <si>
    <t>LUVA DE PVC P/ ESGOTO SÉRIE REFORÇADA D= 75 mm (NBR- 5688)</t>
  </si>
  <si>
    <t>LUVA DE PVC SOLDÁVEL - 20 mm (NBR - 5648)</t>
  </si>
  <si>
    <t>LUVA DE PVC SOLDÁVEL - 25 mm (NBR - 5648)</t>
  </si>
  <si>
    <t>LUVA DE PVC SOLDÁVEL - 32 mm (NBR - 5648)</t>
  </si>
  <si>
    <t>LUVA DE PVC SOLDÁVEL - 40 mm (NBR - 5648)</t>
  </si>
  <si>
    <t>LUVA DE PVC SOLDÁVEL - 50 mm (NBR - 5648)</t>
  </si>
  <si>
    <t>LUVA DE PVC SOLDÁVEL - 60 mm (NBR - 5648)</t>
  </si>
  <si>
    <t>LUVA DE PVC SOLDÁVEL - 75 mm (NBR - 5648)</t>
  </si>
  <si>
    <t>LUVA DE PVC SOLDÁVEL C/ BUCHA DE LATÃO- 20 mm x 1/2` (NBR - 5648)</t>
  </si>
  <si>
    <t>LUVA DE PVC SOLDÁVEL C/ BUCHA DE LATÃO- 25 mm x 1/2` (NBR - 5648)</t>
  </si>
  <si>
    <t>LUVA DE PVC SOLDÁVEL C/ BUCHA DE LATÃO- 25 mm x 3/4` (NBR - 5648)</t>
  </si>
  <si>
    <t>LUVA DE PVC SOLDÁVEL C/ ROSCA- 25 mm x 3/4` (NBR - 5648)</t>
  </si>
  <si>
    <t>LUVA PVC DE CORRER P/ TUBO SOLDÁVEL - 25 mm (NBR - 5648)</t>
  </si>
  <si>
    <t>PASTA LUBRIFICANTE</t>
  </si>
  <si>
    <t>PLUG DE PVC ROSCÁVEL - 1/2` (NBR - 5648)</t>
  </si>
  <si>
    <t>PLUG DE PVC ROSCÁVEL - 3/4` (NBR - 5648)</t>
  </si>
  <si>
    <t>PORTA GRELHA TAMPA QUADRADA P/ CX. SIFONADA E RALO - CROMADA (PVC) - D= 100 mm</t>
  </si>
  <si>
    <t>PORTA GRELHA TAMPA QUADRADA P/ CX. SIFONADA E RALO - CROMADA (PVC) - D= 150 mm</t>
  </si>
  <si>
    <t>REDUÇÃO EXCÊNTRICA P/ ESGOTO SÉRIE NORMAL D= 100 x 50 mm (NBR- 5688)</t>
  </si>
  <si>
    <t>REDUÇÃO EXCÊNTRICA P/ ESGOTO SÉRIE NORMAL D= 100 x 75 mm (NBR- 5688)</t>
  </si>
  <si>
    <t>REDUÇÃO EXCÊNTRICA P/ ESGOTO SÉRIE NORMAL D= 150 X 100 mm (NBR- 5688)</t>
  </si>
  <si>
    <t>REDUÇÃO EXCÊNTRICA P/ ESGOTO SÉRIE NORMAL D= 75 x 50 mm (NBR- 5688)</t>
  </si>
  <si>
    <t>REDUÇÃO EXCÊNTRICA P/ ESGOTO SÉRIE REFORÇADA D= 150 x 100 mm (NBR- 5688)</t>
  </si>
  <si>
    <t>SOLUÇÃO LIMPADORA</t>
  </si>
  <si>
    <t>TE DE INSPEÇÃO P/ ESGOTO SÉRIE NORMAL D= 100 x 75 MM (NBR- 5688)</t>
  </si>
  <si>
    <t>TE DE INSPEÇÃO P/ ESGOTO SÉRIE NORMAL D= 150 X 100 MM - NBR-5688</t>
  </si>
  <si>
    <t>TE DE INSPEÇÃO P/ ESGOTO SÉRIE NORMAL D= 75 X 50 MM - NBR 5648</t>
  </si>
  <si>
    <t>TE DE INSPEÇÃO P/ ESGOTO SÉRIE REFORÇADA D= 100 x 75 MM (NBR- 5688)</t>
  </si>
  <si>
    <t>TE DE INSPEÇÃO P/ ESGOTO SÉRIE REFORÇADA D= 150 x 100 MM (NBR- 5688)</t>
  </si>
  <si>
    <t>TE DE PVC DE REDUÇÃO SOLDÁVEL - 32 mm x 25 mm (NBR - 5648)</t>
  </si>
  <si>
    <t>TE DE PVC DE REDUÇÃO SOLDÁVEL - 40 mm x 25 mm (NBR - 5648)</t>
  </si>
  <si>
    <t>TE DE PVC DE REDUÇÃO SOLDÁVEL - 40 mm x 32 mm (NBR - 5648)</t>
  </si>
  <si>
    <t>TE DE PVC DE REDUÇÃO SOLDÁVEL - 50 mm x 25 mm (NBR - 5648)</t>
  </si>
  <si>
    <t>TE DE PVC DE REDUÇÃO SOLDÁVEL - 75 mm x 60 mm(NBR - 5648)</t>
  </si>
  <si>
    <t>TE DE PVC DE REDUÇÃO SOLDÁVEL - 85 mm x 60 mm (NBR - 5648)</t>
  </si>
  <si>
    <t>TE DE PVC SOLDÁVEL - 110 mm (NBR - 5648)</t>
  </si>
  <si>
    <t>TE DE PVC SOLDÁVEL - 20 mm (NBR - 5648)</t>
  </si>
  <si>
    <t>TE DE PVC SOLDÁVEL - 25 mm (NBR - 5648)</t>
  </si>
  <si>
    <t>TE DE PVC SOLDÁVEL - 32 mm (NBR - 5648)</t>
  </si>
  <si>
    <t>TE DE PVC SOLDÁVEL - 40 mm (NBR - 5648)</t>
  </si>
  <si>
    <t>TE DE PVC SOLDÁVEL - 50 mm (NBR - 5648)</t>
  </si>
  <si>
    <t>TE DE PVC SOLDÁVEL - 60 mm (NBR - 5648)</t>
  </si>
  <si>
    <t>TE DE PVC SOLDÁVEL - 75 mm (NBR - 5648)</t>
  </si>
  <si>
    <t>TE DE PVC SOLDÁVEL - 85 mm (NBR - 5648)</t>
  </si>
  <si>
    <t>TE DE PVC SOLDÁVEL E C/ BUCHA DE LATÃO - 25 mm x 1/2` (NBR - 5648)</t>
  </si>
  <si>
    <t>TE DE PVC SOLDÁVEL E C/ ROSCA - 25 mm x 1/2` (NBR - 5648)</t>
  </si>
  <si>
    <t>TE DE REDUÇÃO P/ ESGOTO 75 X 50 MM - NBR 5688</t>
  </si>
  <si>
    <t>TE DE REDUÇÃO P/ ESGOTO SÉRIE NORMAL D= 100 x 50 mm (NBR- 5688)</t>
  </si>
  <si>
    <t>TE DE REDUÇÃO P/ ESGOTO SÉRIE NORMAL D= 100 x 75 mm (NBR- 5688)</t>
  </si>
  <si>
    <t>TE DE REDUÇÃO P/ ESGOTO SÉRIE NORMAL D= 150 x 100 mm (NBR- 5688)</t>
  </si>
  <si>
    <t>TE DE REDUÇÃO P/ ESGOTO SÉRIE NORMAL D= 75 x 50 mm (NBR- 5688)</t>
  </si>
  <si>
    <t>TE DE REDUÇÃO P/ ESGOTO SÉRIE REFORÇADA D= 150 x 100 mm (NBR- 5688)</t>
  </si>
  <si>
    <t>TE P/ ESGOTO SÉRIE NORMAL D= 100 x 100 mm (NBR- 5688)</t>
  </si>
  <si>
    <t>TE P/ ESGOTO SÉRIE NORMAL D= 40 mm (NBR- 5688)</t>
  </si>
  <si>
    <t>TE P/ ESGOTO SÉRIE NORMAL D= 50 x 50 mm (NBR- 5688)</t>
  </si>
  <si>
    <t>TE P/ ESGOTO SÉRIE NORMAL D= 75 x 75 mm - NBR 5688</t>
  </si>
  <si>
    <t>TE P/ ESGOTO SÉRIE REFORÇADA D= 100MM (NBR-5688)</t>
  </si>
  <si>
    <t>TE P/ ESGOTO SÉRIE REFORÇADA D= 150X150MM (NBR-5688)</t>
  </si>
  <si>
    <t>TUBO DE PVC ESGOTO SÉRIE NORMAL D= 100 mm (NBR- 5688)</t>
  </si>
  <si>
    <t>TUBO DE PVC ESGOTO SÉRIE NORMAL D= 150 mm (NBR- 5688)</t>
  </si>
  <si>
    <t>TUBO DE PVC ESGOTO SÉRIE NORMAL D= 200 mm (NBR- 5688)</t>
  </si>
  <si>
    <t>TUBO DE PVC ESGOTO SÉRIE NORMAL D= 40 mm (NBR- 5688)</t>
  </si>
  <si>
    <t>TUBO DE PVC ESGOTO SÉRIE NORMAL D= 50 mm (NBR- 5688)</t>
  </si>
  <si>
    <t>TUBO DE PVC ESGOTO SÉRIE NORMAL D= 75 mm (NBR- 5688)</t>
  </si>
  <si>
    <t>TUBO DE PVC ESGOTO SÉRIE REFORÇADA D= 100 mm (NBR- 5688)</t>
  </si>
  <si>
    <t>TUBO DE PVC ESGOTO SÉRIE REFORÇADA D= 150 mm (NBR- 5688)</t>
  </si>
  <si>
    <t>TUBO DE PVC ESGOTO SÉRIE REFORÇADA D= 50 mm (NBR- 5688)</t>
  </si>
  <si>
    <t>TUBO DE PVC SOLDÁVEL D=110mm (NBR - 5648)</t>
  </si>
  <si>
    <t>TUBO DE PVC SOLDÁVEL D=20mm (NBR - 5648)</t>
  </si>
  <si>
    <t>TUBO DE PVC SOLDÁVEL D=25mm (NBR - 5648)</t>
  </si>
  <si>
    <t>TUBO DE PVC SOLDÁVEL D=32mm (NBR - 5648)</t>
  </si>
  <si>
    <t>TUBO DE PVC SOLDÁVEL D=40mm (NBR - 5648)</t>
  </si>
  <si>
    <t>TUBO DE PVC SOLDÁVEL D=50mm (NBR - 5648)</t>
  </si>
  <si>
    <t>TUBO DE PVC SOLDÁVEL D=60mm (NBR - 5648)</t>
  </si>
  <si>
    <t>TUBO DE PVC SOLDÁVEL D=75mm (NBR - 5648)</t>
  </si>
  <si>
    <t>TUBO DE PVC SOLDÁVEL D=85mm (NBR - 5648)</t>
  </si>
  <si>
    <t>UNIÃO DE PVC SOLDÁVEL - 110 mm (NBR - 5648)</t>
  </si>
  <si>
    <t>UNIÃO DE PVC SOLDÁVEL - 50 mm (NBR - 5648)</t>
  </si>
  <si>
    <t>UNIÃO DE PVC SOLDÁVEL - 60 mm (NBR - 5648)</t>
  </si>
  <si>
    <t>UNIÃO DE PVC SOLDÁVEL - 75 mm (NBR - 5648)</t>
  </si>
  <si>
    <t>UN</t>
  </si>
  <si>
    <t>ITEM</t>
  </si>
  <si>
    <t>DESCRIÇÃO</t>
  </si>
  <si>
    <t>UND.</t>
  </si>
  <si>
    <r>
      <t xml:space="preserve">RAZÃO SOCIAL: </t>
    </r>
    <r>
      <rPr>
        <sz val="10"/>
        <rFont val="Arial"/>
        <family val="2"/>
      </rPr>
      <t>SPE RESIDENCIAL CITY 14 EMPREENDIMENTOS LTDA</t>
    </r>
  </si>
  <si>
    <t>NOME DA EMPRESA PARTICIPANTE</t>
  </si>
  <si>
    <r>
      <t xml:space="preserve">CNPJ: </t>
    </r>
    <r>
      <rPr>
        <sz val="10"/>
        <rFont val="Arial"/>
        <family val="2"/>
      </rPr>
      <t>36.153.010/0001-04</t>
    </r>
  </si>
  <si>
    <t xml:space="preserve">CNPJ DA EMPRESA </t>
  </si>
  <si>
    <r>
      <t xml:space="preserve">ENDEREÇO: </t>
    </r>
    <r>
      <rPr>
        <sz val="10"/>
        <rFont val="Arial"/>
        <family val="2"/>
      </rPr>
      <t>RUA 1125 C/ 1122, QD. 227, LT. 14, SETOR MARISTA, GOIÂNIA/GO</t>
    </r>
  </si>
  <si>
    <t>RESPONSÁVEL / TELEFONE</t>
  </si>
  <si>
    <t>E-MAIL DO RESPONSÁVEL</t>
  </si>
  <si>
    <t>CONDIÇÕES DE PAGAMENTO</t>
  </si>
  <si>
    <t>PRAZO DE ENTREGA</t>
  </si>
  <si>
    <t>R$ UNIT.</t>
  </si>
  <si>
    <t>R$ TOTAL</t>
  </si>
  <si>
    <t>MATERIAL HIDRÁULICO</t>
  </si>
  <si>
    <r>
      <t xml:space="preserve">RESPONSÁVEL: </t>
    </r>
    <r>
      <rPr>
        <sz val="10"/>
        <rFont val="Arial"/>
        <family val="2"/>
      </rPr>
      <t>GUSTAVO SIMON</t>
    </r>
  </si>
  <si>
    <r>
      <t xml:space="preserve">CELULAR: </t>
    </r>
    <r>
      <rPr>
        <sz val="10"/>
        <rFont val="Arial"/>
        <family val="2"/>
      </rPr>
      <t>(62) 9 8414-0686</t>
    </r>
  </si>
  <si>
    <r>
      <t xml:space="preserve">E-MAIL: </t>
    </r>
    <r>
      <rPr>
        <sz val="10"/>
        <rFont val="Arial"/>
        <family val="2"/>
      </rPr>
      <t>gustavo.simon@cityinc.com.br</t>
    </r>
  </si>
  <si>
    <t>QTD.</t>
  </si>
  <si>
    <t>OBSERVAÇÕES</t>
  </si>
  <si>
    <t>TOTAL GERAL</t>
  </si>
  <si>
    <t>COLOCAR VALORES VISANDO FECHAR ACORDO CORPORATIVO</t>
  </si>
  <si>
    <t>TUBO PVC ESGOTO SERIE R Ø40MM NBR 5.688</t>
  </si>
  <si>
    <t>TUBO PVC ESGOTO SERIE R Ø50MM NBR 5.688</t>
  </si>
  <si>
    <t>TUBO PVC ESGOTO SERIE R Ø75MM NBR 5.688</t>
  </si>
  <si>
    <t>TUBO PVC ESGOTO SERIE R Ø100MM NBR 5.688</t>
  </si>
  <si>
    <t>TUBO PVC ESGOTO SERIE R Ø150MM NBR 5.688</t>
  </si>
  <si>
    <t>BUCHA REDUCAO PVC ESGOTO SERIE R 50X40MM NBR 5.688</t>
  </si>
  <si>
    <t>CAPS PVC ESGOTO SERIE R 50MM NBR 5.688</t>
  </si>
  <si>
    <t>CAPS PVC ESGOTO SERIE R 75MM NBR 5.688</t>
  </si>
  <si>
    <t>CAPS PVC ESGOTO SERIE R 100MM NBR 5.688</t>
  </si>
  <si>
    <t>CAPS PVC ESGOTO SERIE R 150MM NBR 5.688</t>
  </si>
  <si>
    <t>CURVA PVC ESGOTO CURTA SERIE R 90°X50MM NBR 5.688</t>
  </si>
  <si>
    <t>CURVA PVC ESGOTO CURTA SERIE R 90°X75MM NBR 5.688</t>
  </si>
  <si>
    <t>CURVA PVC ESGOTO CURTA SERIE R 90°X100MM NBR 5.688</t>
  </si>
  <si>
    <t>CURVA PVC ESGOTO SERIE R 87º 150MM NBR 5.688</t>
  </si>
  <si>
    <t>JOELHO PVC ESGOTO SERIE R 45°X40MM NBR 5.688</t>
  </si>
  <si>
    <t>JOELHO PVC ESGOTO SERIE R 45°X50MM NBR 5.688</t>
  </si>
  <si>
    <t>JOELHO PVC ESGOTO SERIE R 45°X75MM NBR 5.688</t>
  </si>
  <si>
    <t>JOELHO PVC ESGOTO SERIE R 45°X100MM NBR 5.688</t>
  </si>
  <si>
    <t>JOELHO PVC ESGOTO SERIE R 45°X150MM NBR 5.688</t>
  </si>
  <si>
    <t>JOELHO PVC ESGOTO SERIE R 90°X40MM NBR 5.688</t>
  </si>
  <si>
    <t>JOELHO PVC ESGOTO SERIE R 90°X50MM NBR 5.688</t>
  </si>
  <si>
    <t>JOELHO PVC ESGOTO SERIE R 90°X75MM NBR 5.688</t>
  </si>
  <si>
    <t>JOELHO PVC ESGOTO SERIE R 90°X100MM NBR 5.688</t>
  </si>
  <si>
    <t>JOELHO PVC ESGOTO SERIE R 90°X150MM NBR 5.688</t>
  </si>
  <si>
    <t>CURVA PVC ESGOTO SERIE R  87°X75MM NBR 5.688</t>
  </si>
  <si>
    <t>JUNCAO DUPLA PVC ESGOTO SERIE R 100MM NBR 5.688</t>
  </si>
  <si>
    <t>JUNCAO SIMPLES PVC ESGOTO SERIE R 40X40MM NBR 5.688</t>
  </si>
  <si>
    <t>JUNCAO SIMPLES PVC ESGOTO SERIE R 50X50MM NBR 5.688</t>
  </si>
  <si>
    <t>JUNCAO SIMPLES PVC ESGOTO SERIE R 75MM NBR 5.688</t>
  </si>
  <si>
    <t>JUNCAO SIMPLES PVC ESGOTO SERIE R 100MM NBR 5.688</t>
  </si>
  <si>
    <t>JUNCAO SIMPLES PVC ESGOTO SERIE R 150MM NBR 5.688</t>
  </si>
  <si>
    <t>JUNCAO SIMPLES PVC ESGOTO SERIE R 75X50MM NBR 5.688</t>
  </si>
  <si>
    <t>JUNCAO SIMPLES PVC ESGOTO SERIE R 100X50MM NBR 5.688</t>
  </si>
  <si>
    <t>JUNCAO SIMPLES PVC ESGOTO SERIE R 100X75MM NBR 5.688</t>
  </si>
  <si>
    <t>JUNCAO SIMPLES PVC ESGOTO SERIE R 150X100MM NBR 5.688</t>
  </si>
  <si>
    <t>LUVA PVC ESGOTO SERIE R 40MM NBR 5.688</t>
  </si>
  <si>
    <t>LUVA PVC ESGOTO SERIE R 50MM NBR 5.688</t>
  </si>
  <si>
    <t>LUVA PVC ESGOTO SERIE R 75MM  NBR 5.688</t>
  </si>
  <si>
    <t>LUVA PVC ESGOTO SERIE R 100MM NBR 5.688</t>
  </si>
  <si>
    <t>LUVA PVC ESGOTO SERIE R 150MM NBR 5.688</t>
  </si>
  <si>
    <t>LUVA DE CORRER PVC ESGOTO SERIE R 50MM NBR 5.688</t>
  </si>
  <si>
    <t>LUVA DE CORRER PVC ESGOTO SERIE R 75MM NBR 5.688</t>
  </si>
  <si>
    <t>LUVA DE CORRER PVC ESGOTO SERIE R 100MM NBR 5.688</t>
  </si>
  <si>
    <t>LUVA DE CORRER PVC ESGOTO SERIE R 150MM NBR 5.688</t>
  </si>
  <si>
    <t>REDUCAO EXCENTRICA PVC ESGOTO SERIE R 75X50MM NBR 5.688</t>
  </si>
  <si>
    <t>REDUCAO EXCENTRICA PVC ESGOTO SERIE R 200X150MM NBR 5.688</t>
  </si>
  <si>
    <t>REDUCAO EXCENTRICA PVC ESGOTO SERIE R 100X75MM NBR 5.688</t>
  </si>
  <si>
    <t>REDUCAO EXCENTRICA PVC ESGOTO SERIE R 150X100MM NBR 5.688</t>
  </si>
  <si>
    <t>TE PVC ESGOTO SERIE R 50MM NBR 5.688</t>
  </si>
  <si>
    <t>TE PVC ESGOTO SERIE R 75MM NBR 5.688</t>
  </si>
  <si>
    <t>TE PVC ESGOTO SERIE R 100MM NBR 5.688</t>
  </si>
  <si>
    <t>TE PVC ESGOTO SERIE R 150MM NBR 5.688</t>
  </si>
  <si>
    <t>TE PVC ESGOTO SERIE R 100X50MM NBR 5.688</t>
  </si>
  <si>
    <t>TE PVC ESGOTO SERIE R 100X75MM NBR 5.688</t>
  </si>
  <si>
    <t>TE PVC ESGOTO SERIE R 150X100MM NBR 5.688</t>
  </si>
  <si>
    <t>TE DE INSPECAO PVC ESGOTO SERIE R 75X75MM NBR 5.688</t>
  </si>
  <si>
    <t>TE DE INSPECAO PVC ESGOTO SERIE R 100MM NBR 5.688</t>
  </si>
  <si>
    <t>TE DE INSPECAO PVC ESGOTO SERIE R 150X100MM NBR 5.688</t>
  </si>
  <si>
    <t>TE P/ ESGOTO SÉRIE NORMAL D= 150 X150 mm - (NBR 5688)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</si>
</sst>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686E6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7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6" fillId="4" borderId="2" xfId="1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Normal" xfId="0" builtinId="0"/>
    <cellStyle name="Normal_FUND" xfId="1" xr:uid="{81CD3A78-586C-4252-BD0F-C9B436611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150495</xdr:colOff>
      <xdr:row>2</xdr:row>
      <xdr:rowOff>41911</xdr:rowOff>
    </xdr:from>
    <xdr:to>
      <xdr:col>7</xdr:col>
      <xdr:colOff>802641</xdr:colOff>
      <xdr:row>7</xdr:row>
      <xdr:rowOff>91440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CAE7EEC-311E-469E-9743-5EFE159B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84995" y="407671"/>
          <a:ext cx="1528446" cy="895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C750-BE0F-4A57-8E9F-A1F8690A0BB1}">
  <dimension ref="A2:N268"/>
  <sheetViews>
    <sheetView showGridLines="0" tabSelected="1" topLeftCell="A83" workbookViewId="0">
      <selection activeCell="M102" sqref="M102"/>
    </sheetView>
  </sheetViews>
  <sheetFormatPr defaultRowHeight="13.2" x14ac:dyDescent="0.3"/>
  <cols>
    <col min="1" max="1" width="2.88671875" style="1" customWidth="1"/>
    <col min="2" max="2" width="6.44140625" style="1" customWidth="1"/>
    <col min="3" max="3" width="91.88671875" style="1" customWidth="1"/>
    <col min="4" max="4" width="9.109375" style="1" customWidth="1"/>
    <col min="5" max="5" width="11" style="1" customWidth="1"/>
    <col min="6" max="6" width="16" style="1" customWidth="1"/>
    <col min="7" max="7" width="12.77734375" style="1" customWidth="1"/>
    <col min="8" max="8" width="13.33203125" style="1" customWidth="1"/>
    <col min="9" max="9" width="12.77734375" style="1" customWidth="1"/>
    <col min="10" max="10" width="13.33203125" style="1" customWidth="1"/>
    <col min="11" max="11" width="9.33203125" style="1" bestFit="1" customWidth="1"/>
    <col min="12" max="16384" width="8.88671875" style="1"/>
  </cols>
  <sheetData>
    <row r="2" spans="2:14" ht="25.2" customHeight="1" x14ac:dyDescent="0.3">
      <c r="B2" s="26" t="s">
        <v>209</v>
      </c>
      <c r="C2" s="26"/>
      <c r="D2" s="26"/>
      <c r="E2" s="26"/>
      <c r="F2" s="26"/>
      <c r="G2" s="26"/>
      <c r="H2" s="26"/>
      <c r="I2" s="8"/>
      <c r="J2" s="8"/>
    </row>
    <row r="3" spans="2:14" x14ac:dyDescent="0.3">
      <c r="B3" s="21" t="s">
        <v>198</v>
      </c>
      <c r="C3" s="21"/>
      <c r="D3" s="27" t="s">
        <v>199</v>
      </c>
      <c r="E3" s="27"/>
      <c r="F3" s="27"/>
      <c r="G3" s="28"/>
      <c r="H3" s="29"/>
      <c r="I3" s="11" t="s">
        <v>216</v>
      </c>
      <c r="J3" s="12"/>
    </row>
    <row r="4" spans="2:14" x14ac:dyDescent="0.3">
      <c r="B4" s="21" t="s">
        <v>200</v>
      </c>
      <c r="C4" s="21"/>
      <c r="D4" s="27" t="s">
        <v>201</v>
      </c>
      <c r="E4" s="27"/>
      <c r="F4" s="27"/>
      <c r="G4" s="30"/>
      <c r="H4" s="31"/>
      <c r="I4" s="13"/>
      <c r="J4" s="14"/>
    </row>
    <row r="5" spans="2:14" x14ac:dyDescent="0.3">
      <c r="B5" s="21" t="s">
        <v>202</v>
      </c>
      <c r="C5" s="21"/>
      <c r="D5" s="27" t="s">
        <v>203</v>
      </c>
      <c r="E5" s="27"/>
      <c r="F5" s="27"/>
      <c r="G5" s="30"/>
      <c r="H5" s="31"/>
      <c r="I5" s="13"/>
      <c r="J5" s="14"/>
    </row>
    <row r="6" spans="2:14" x14ac:dyDescent="0.3">
      <c r="B6" s="21" t="s">
        <v>210</v>
      </c>
      <c r="C6" s="21"/>
      <c r="D6" s="23" t="s">
        <v>204</v>
      </c>
      <c r="E6" s="23"/>
      <c r="F6" s="23"/>
      <c r="G6" s="30"/>
      <c r="H6" s="31"/>
      <c r="I6" s="13"/>
      <c r="J6" s="14"/>
    </row>
    <row r="7" spans="2:14" x14ac:dyDescent="0.3">
      <c r="B7" s="22" t="s">
        <v>211</v>
      </c>
      <c r="C7" s="22"/>
      <c r="D7" s="24" t="s">
        <v>205</v>
      </c>
      <c r="E7" s="24"/>
      <c r="F7" s="24"/>
      <c r="G7" s="30"/>
      <c r="H7" s="31"/>
      <c r="I7" s="13"/>
      <c r="J7" s="14"/>
    </row>
    <row r="8" spans="2:14" x14ac:dyDescent="0.3">
      <c r="B8" s="21" t="s">
        <v>212</v>
      </c>
      <c r="C8" s="21"/>
      <c r="D8" s="25" t="s">
        <v>206</v>
      </c>
      <c r="E8" s="25"/>
      <c r="F8" s="25"/>
      <c r="G8" s="32"/>
      <c r="H8" s="33"/>
      <c r="I8" s="15"/>
      <c r="J8" s="16"/>
    </row>
    <row r="9" spans="2:14" ht="16.8" customHeight="1" x14ac:dyDescent="0.3">
      <c r="B9" s="2" t="s">
        <v>195</v>
      </c>
      <c r="C9" s="2" t="s">
        <v>196</v>
      </c>
      <c r="D9" s="2" t="s">
        <v>197</v>
      </c>
      <c r="E9" s="2" t="s">
        <v>213</v>
      </c>
      <c r="F9" s="3" t="s">
        <v>214</v>
      </c>
      <c r="G9" s="3" t="s">
        <v>207</v>
      </c>
      <c r="H9" s="3" t="s">
        <v>208</v>
      </c>
      <c r="I9" s="3" t="s">
        <v>207</v>
      </c>
      <c r="J9" s="3" t="s">
        <v>208</v>
      </c>
    </row>
    <row r="10" spans="2:14" ht="13.2" customHeight="1" x14ac:dyDescent="0.3">
      <c r="B10" s="4">
        <v>1</v>
      </c>
      <c r="C10" s="5" t="s">
        <v>0</v>
      </c>
      <c r="D10" s="6" t="s">
        <v>194</v>
      </c>
      <c r="E10" s="4">
        <v>12</v>
      </c>
      <c r="F10" s="4"/>
      <c r="G10" s="7">
        <v>4.641</v>
      </c>
      <c r="H10" s="7">
        <f t="shared" ref="H10:H61" si="0">E10*G10</f>
        <v>55.692</v>
      </c>
      <c r="I10" s="10">
        <v>4.641</v>
      </c>
      <c r="J10" s="7">
        <f t="shared" ref="J10:J61" si="1">E10*I10</f>
        <v>55.692</v>
      </c>
      <c r="K10" s="10"/>
      <c r="L10" s="10"/>
      <c r="N10" s="10"/>
    </row>
    <row r="11" spans="2:14" ht="13.2" customHeight="1" x14ac:dyDescent="0.3">
      <c r="B11" s="4">
        <f>B10+1</f>
        <v>2</v>
      </c>
      <c r="C11" s="5" t="s">
        <v>1</v>
      </c>
      <c r="D11" s="6" t="s">
        <v>194</v>
      </c>
      <c r="E11" s="4">
        <v>35</v>
      </c>
      <c r="F11" s="4"/>
      <c r="G11" s="7">
        <v>11.56</v>
      </c>
      <c r="H11" s="7">
        <f t="shared" si="0"/>
        <v>404.6</v>
      </c>
      <c r="I11" s="10">
        <v>11.56</v>
      </c>
      <c r="J11" s="7">
        <f t="shared" si="1"/>
        <v>404.6</v>
      </c>
      <c r="K11" s="10"/>
      <c r="L11" s="10"/>
      <c r="N11" s="10"/>
    </row>
    <row r="12" spans="2:14" ht="13.2" customHeight="1" x14ac:dyDescent="0.3">
      <c r="B12" s="4">
        <f t="shared" ref="B12:B75" si="2">B11+1</f>
        <v>3</v>
      </c>
      <c r="C12" s="5" t="s">
        <v>2</v>
      </c>
      <c r="D12" s="6" t="s">
        <v>194</v>
      </c>
      <c r="E12" s="4">
        <v>41</v>
      </c>
      <c r="F12" s="4"/>
      <c r="G12" s="7">
        <v>21.090805255185845</v>
      </c>
      <c r="H12" s="7">
        <f t="shared" si="0"/>
        <v>864.72301546261963</v>
      </c>
      <c r="I12" s="10">
        <v>21.090805255185845</v>
      </c>
      <c r="J12" s="7">
        <f t="shared" si="1"/>
        <v>864.72301546261963</v>
      </c>
      <c r="K12" s="10"/>
      <c r="L12" s="10"/>
      <c r="N12" s="10"/>
    </row>
    <row r="13" spans="2:14" ht="13.2" customHeight="1" x14ac:dyDescent="0.3">
      <c r="B13" s="4">
        <f t="shared" si="2"/>
        <v>4</v>
      </c>
      <c r="C13" s="5" t="s">
        <v>3</v>
      </c>
      <c r="D13" s="6" t="s">
        <v>194</v>
      </c>
      <c r="E13" s="4">
        <v>10</v>
      </c>
      <c r="F13" s="4"/>
      <c r="G13" s="7">
        <v>29.2</v>
      </c>
      <c r="H13" s="7">
        <f t="shared" si="0"/>
        <v>292</v>
      </c>
      <c r="I13" s="10">
        <v>29.2</v>
      </c>
      <c r="J13" s="7">
        <f t="shared" si="1"/>
        <v>292</v>
      </c>
      <c r="K13" s="10"/>
      <c r="L13" s="10"/>
      <c r="N13" s="10"/>
    </row>
    <row r="14" spans="2:14" ht="13.2" customHeight="1" x14ac:dyDescent="0.3">
      <c r="B14" s="4">
        <f t="shared" si="2"/>
        <v>5</v>
      </c>
      <c r="C14" s="5" t="s">
        <v>4</v>
      </c>
      <c r="D14" s="6" t="s">
        <v>194</v>
      </c>
      <c r="E14" s="4">
        <v>37</v>
      </c>
      <c r="F14" s="4"/>
      <c r="G14" s="7">
        <v>210.00072466293318</v>
      </c>
      <c r="H14" s="7">
        <f t="shared" si="0"/>
        <v>7770.0268125285274</v>
      </c>
      <c r="I14" s="10">
        <v>210.00072466293318</v>
      </c>
      <c r="J14" s="7">
        <f t="shared" si="1"/>
        <v>7770.0268125285274</v>
      </c>
      <c r="K14" s="10"/>
      <c r="L14" s="10"/>
      <c r="N14" s="10"/>
    </row>
    <row r="15" spans="2:14" ht="13.2" customHeight="1" x14ac:dyDescent="0.3">
      <c r="B15" s="4">
        <f t="shared" si="2"/>
        <v>6</v>
      </c>
      <c r="C15" s="5" t="s">
        <v>5</v>
      </c>
      <c r="D15" s="6" t="s">
        <v>194</v>
      </c>
      <c r="E15" s="4">
        <v>32</v>
      </c>
      <c r="F15" s="4"/>
      <c r="G15" s="7">
        <v>40.08</v>
      </c>
      <c r="H15" s="7">
        <f t="shared" si="0"/>
        <v>1282.56</v>
      </c>
      <c r="I15" s="10">
        <v>40.08</v>
      </c>
      <c r="J15" s="7">
        <f t="shared" si="1"/>
        <v>1282.56</v>
      </c>
      <c r="K15" s="10"/>
      <c r="L15" s="10"/>
      <c r="N15" s="10"/>
    </row>
    <row r="16" spans="2:14" ht="13.2" customHeight="1" x14ac:dyDescent="0.3">
      <c r="B16" s="4">
        <f t="shared" si="2"/>
        <v>7</v>
      </c>
      <c r="C16" s="5" t="s">
        <v>6</v>
      </c>
      <c r="D16" s="6" t="s">
        <v>194</v>
      </c>
      <c r="E16" s="4">
        <v>32</v>
      </c>
      <c r="F16" s="4"/>
      <c r="G16" s="7">
        <v>22.05</v>
      </c>
      <c r="H16" s="7">
        <f t="shared" si="0"/>
        <v>705.6</v>
      </c>
      <c r="I16" s="10">
        <v>22.05</v>
      </c>
      <c r="J16" s="7">
        <f t="shared" si="1"/>
        <v>705.6</v>
      </c>
      <c r="K16" s="10"/>
      <c r="L16" s="10"/>
      <c r="N16" s="10"/>
    </row>
    <row r="17" spans="2:14" ht="13.2" customHeight="1" x14ac:dyDescent="0.3">
      <c r="B17" s="4">
        <f t="shared" si="2"/>
        <v>8</v>
      </c>
      <c r="C17" s="5" t="s">
        <v>7</v>
      </c>
      <c r="D17" s="6" t="s">
        <v>194</v>
      </c>
      <c r="E17" s="4">
        <v>686</v>
      </c>
      <c r="F17" s="4"/>
      <c r="G17" s="7">
        <v>0.42</v>
      </c>
      <c r="H17" s="7">
        <f t="shared" si="0"/>
        <v>288.12</v>
      </c>
      <c r="I17" s="10">
        <v>0.42</v>
      </c>
      <c r="J17" s="7">
        <f t="shared" si="1"/>
        <v>288.12</v>
      </c>
      <c r="K17" s="10"/>
      <c r="L17" s="10"/>
      <c r="N17" s="10"/>
    </row>
    <row r="18" spans="2:14" ht="13.2" customHeight="1" x14ac:dyDescent="0.3">
      <c r="B18" s="4">
        <f t="shared" si="2"/>
        <v>9</v>
      </c>
      <c r="C18" s="5" t="s">
        <v>8</v>
      </c>
      <c r="D18" s="6" t="s">
        <v>194</v>
      </c>
      <c r="E18" s="4">
        <v>50</v>
      </c>
      <c r="F18" s="4"/>
      <c r="G18" s="7">
        <v>1.111</v>
      </c>
      <c r="H18" s="7">
        <f t="shared" si="0"/>
        <v>55.55</v>
      </c>
      <c r="I18" s="10">
        <v>1.111</v>
      </c>
      <c r="J18" s="7">
        <f t="shared" si="1"/>
        <v>55.55</v>
      </c>
      <c r="K18" s="10"/>
      <c r="L18" s="10"/>
      <c r="N18" s="10"/>
    </row>
    <row r="19" spans="2:14" ht="13.2" customHeight="1" x14ac:dyDescent="0.3">
      <c r="B19" s="4">
        <f t="shared" si="2"/>
        <v>10</v>
      </c>
      <c r="C19" s="5" t="s">
        <v>9</v>
      </c>
      <c r="D19" s="6" t="s">
        <v>194</v>
      </c>
      <c r="E19" s="4">
        <v>134</v>
      </c>
      <c r="F19" s="4"/>
      <c r="G19" s="7">
        <v>2.0699999999999998</v>
      </c>
      <c r="H19" s="7">
        <f t="shared" si="0"/>
        <v>277.38</v>
      </c>
      <c r="I19" s="10">
        <v>2.0699999999999998</v>
      </c>
      <c r="J19" s="7">
        <f t="shared" si="1"/>
        <v>277.38</v>
      </c>
      <c r="K19" s="10"/>
      <c r="L19" s="10"/>
      <c r="N19" s="10"/>
    </row>
    <row r="20" spans="2:14" ht="13.2" customHeight="1" x14ac:dyDescent="0.3">
      <c r="B20" s="4">
        <f t="shared" si="2"/>
        <v>11</v>
      </c>
      <c r="C20" s="5" t="s">
        <v>10</v>
      </c>
      <c r="D20" s="6" t="s">
        <v>194</v>
      </c>
      <c r="E20" s="4">
        <v>224</v>
      </c>
      <c r="F20" s="4"/>
      <c r="G20" s="7">
        <v>2.02</v>
      </c>
      <c r="H20" s="7">
        <f t="shared" si="0"/>
        <v>452.48</v>
      </c>
      <c r="I20" s="10">
        <v>2.02</v>
      </c>
      <c r="J20" s="7">
        <f t="shared" si="1"/>
        <v>452.48</v>
      </c>
      <c r="K20" s="10"/>
      <c r="L20" s="10"/>
      <c r="N20" s="10"/>
    </row>
    <row r="21" spans="2:14" ht="13.2" customHeight="1" x14ac:dyDescent="0.3">
      <c r="B21" s="4">
        <f t="shared" si="2"/>
        <v>12</v>
      </c>
      <c r="C21" s="5" t="s">
        <v>11</v>
      </c>
      <c r="D21" s="6" t="s">
        <v>194</v>
      </c>
      <c r="E21" s="4">
        <v>4</v>
      </c>
      <c r="F21" s="4"/>
      <c r="G21" s="7">
        <v>10.8</v>
      </c>
      <c r="H21" s="7">
        <f t="shared" si="0"/>
        <v>43.2</v>
      </c>
      <c r="I21" s="10">
        <v>10.8</v>
      </c>
      <c r="J21" s="7">
        <f t="shared" si="1"/>
        <v>43.2</v>
      </c>
      <c r="K21" s="10"/>
      <c r="L21" s="10"/>
      <c r="N21" s="10"/>
    </row>
    <row r="22" spans="2:14" ht="13.2" customHeight="1" x14ac:dyDescent="0.3">
      <c r="B22" s="4">
        <f t="shared" si="2"/>
        <v>13</v>
      </c>
      <c r="C22" s="5" t="s">
        <v>12</v>
      </c>
      <c r="D22" s="6" t="s">
        <v>194</v>
      </c>
      <c r="E22" s="4">
        <v>22</v>
      </c>
      <c r="F22" s="4"/>
      <c r="G22" s="7">
        <v>14.75</v>
      </c>
      <c r="H22" s="7">
        <f t="shared" si="0"/>
        <v>324.5</v>
      </c>
      <c r="I22" s="10">
        <v>14.75</v>
      </c>
      <c r="J22" s="7">
        <f t="shared" si="1"/>
        <v>324.5</v>
      </c>
      <c r="K22" s="10"/>
      <c r="L22" s="10"/>
      <c r="N22" s="10"/>
    </row>
    <row r="23" spans="2:14" ht="13.2" customHeight="1" x14ac:dyDescent="0.3">
      <c r="B23" s="4">
        <f t="shared" si="2"/>
        <v>14</v>
      </c>
      <c r="C23" s="5" t="s">
        <v>13</v>
      </c>
      <c r="D23" s="6" t="s">
        <v>194</v>
      </c>
      <c r="E23" s="4">
        <v>300</v>
      </c>
      <c r="F23" s="4"/>
      <c r="G23" s="7">
        <v>37.1</v>
      </c>
      <c r="H23" s="7">
        <f t="shared" si="0"/>
        <v>11130</v>
      </c>
      <c r="I23" s="10">
        <v>37.1</v>
      </c>
      <c r="J23" s="7">
        <f t="shared" si="1"/>
        <v>11130</v>
      </c>
      <c r="K23" s="10"/>
      <c r="L23" s="10"/>
      <c r="N23" s="10"/>
    </row>
    <row r="24" spans="2:14" ht="13.2" customHeight="1" x14ac:dyDescent="0.3">
      <c r="B24" s="4">
        <f t="shared" si="2"/>
        <v>15</v>
      </c>
      <c r="C24" s="5" t="s">
        <v>14</v>
      </c>
      <c r="D24" s="6" t="s">
        <v>194</v>
      </c>
      <c r="E24" s="4">
        <v>180</v>
      </c>
      <c r="F24" s="4"/>
      <c r="G24" s="7">
        <v>30.54</v>
      </c>
      <c r="H24" s="7">
        <f t="shared" si="0"/>
        <v>5497.2</v>
      </c>
      <c r="I24" s="10">
        <v>30.54</v>
      </c>
      <c r="J24" s="7">
        <f t="shared" si="1"/>
        <v>5497.2</v>
      </c>
      <c r="K24" s="10"/>
      <c r="L24" s="10"/>
      <c r="N24" s="10"/>
    </row>
    <row r="25" spans="2:14" ht="13.2" customHeight="1" x14ac:dyDescent="0.3">
      <c r="B25" s="4">
        <f t="shared" si="2"/>
        <v>16</v>
      </c>
      <c r="C25" s="5" t="s">
        <v>15</v>
      </c>
      <c r="D25" s="6" t="s">
        <v>194</v>
      </c>
      <c r="E25" s="4">
        <v>1660</v>
      </c>
      <c r="F25" s="4"/>
      <c r="G25" s="7">
        <v>0.59</v>
      </c>
      <c r="H25" s="7">
        <f t="shared" si="0"/>
        <v>979.4</v>
      </c>
      <c r="I25" s="10">
        <v>0.59</v>
      </c>
      <c r="J25" s="7">
        <f t="shared" si="1"/>
        <v>979.4</v>
      </c>
      <c r="K25" s="10"/>
      <c r="L25" s="10"/>
      <c r="N25" s="10"/>
    </row>
    <row r="26" spans="2:14" ht="13.2" customHeight="1" x14ac:dyDescent="0.3">
      <c r="B26" s="4">
        <f t="shared" si="2"/>
        <v>17</v>
      </c>
      <c r="C26" s="5" t="s">
        <v>16</v>
      </c>
      <c r="D26" s="6" t="s">
        <v>194</v>
      </c>
      <c r="E26" s="4">
        <v>325</v>
      </c>
      <c r="F26" s="4"/>
      <c r="G26" s="7">
        <v>2.58</v>
      </c>
      <c r="H26" s="7">
        <f t="shared" si="0"/>
        <v>838.5</v>
      </c>
      <c r="I26" s="10">
        <v>2.58</v>
      </c>
      <c r="J26" s="7">
        <f t="shared" si="1"/>
        <v>838.5</v>
      </c>
      <c r="K26" s="10"/>
      <c r="L26" s="10"/>
      <c r="N26" s="10"/>
    </row>
    <row r="27" spans="2:14" ht="13.2" customHeight="1" x14ac:dyDescent="0.3">
      <c r="B27" s="4">
        <f t="shared" si="2"/>
        <v>18</v>
      </c>
      <c r="C27" s="5" t="s">
        <v>17</v>
      </c>
      <c r="D27" s="6" t="s">
        <v>194</v>
      </c>
      <c r="E27" s="4">
        <v>100</v>
      </c>
      <c r="F27" s="4"/>
      <c r="G27" s="7">
        <v>9.282</v>
      </c>
      <c r="H27" s="7">
        <f t="shared" si="0"/>
        <v>928.2</v>
      </c>
      <c r="I27" s="10">
        <v>9.282</v>
      </c>
      <c r="J27" s="7">
        <f t="shared" si="1"/>
        <v>928.2</v>
      </c>
      <c r="K27" s="10"/>
      <c r="L27" s="10"/>
      <c r="N27" s="10"/>
    </row>
    <row r="28" spans="2:14" ht="13.2" customHeight="1" x14ac:dyDescent="0.3">
      <c r="B28" s="4">
        <f t="shared" si="2"/>
        <v>19</v>
      </c>
      <c r="C28" s="5" t="s">
        <v>18</v>
      </c>
      <c r="D28" s="6" t="s">
        <v>194</v>
      </c>
      <c r="E28" s="4">
        <v>170</v>
      </c>
      <c r="F28" s="4"/>
      <c r="G28" s="7">
        <v>0.5</v>
      </c>
      <c r="H28" s="7">
        <f t="shared" si="0"/>
        <v>85</v>
      </c>
      <c r="I28" s="10">
        <v>0.5</v>
      </c>
      <c r="J28" s="7">
        <f t="shared" si="1"/>
        <v>85</v>
      </c>
      <c r="K28" s="10"/>
      <c r="L28" s="10"/>
      <c r="N28" s="10"/>
    </row>
    <row r="29" spans="2:14" ht="13.2" customHeight="1" x14ac:dyDescent="0.3">
      <c r="B29" s="4">
        <f t="shared" si="2"/>
        <v>20</v>
      </c>
      <c r="C29" s="5" t="s">
        <v>19</v>
      </c>
      <c r="D29" s="6" t="s">
        <v>194</v>
      </c>
      <c r="E29" s="4">
        <v>1860</v>
      </c>
      <c r="F29" s="4"/>
      <c r="G29" s="7">
        <v>0.36</v>
      </c>
      <c r="H29" s="7">
        <f t="shared" si="0"/>
        <v>669.6</v>
      </c>
      <c r="I29" s="10">
        <v>0.36</v>
      </c>
      <c r="J29" s="7">
        <f t="shared" si="1"/>
        <v>669.6</v>
      </c>
      <c r="K29" s="10"/>
      <c r="L29" s="10"/>
      <c r="N29" s="10"/>
    </row>
    <row r="30" spans="2:14" ht="13.2" customHeight="1" x14ac:dyDescent="0.3">
      <c r="B30" s="4">
        <f t="shared" si="2"/>
        <v>21</v>
      </c>
      <c r="C30" s="5" t="s">
        <v>20</v>
      </c>
      <c r="D30" s="6" t="s">
        <v>194</v>
      </c>
      <c r="E30" s="4">
        <v>1290</v>
      </c>
      <c r="F30" s="4"/>
      <c r="G30" s="7">
        <v>0.54</v>
      </c>
      <c r="H30" s="7">
        <f t="shared" si="0"/>
        <v>696.6</v>
      </c>
      <c r="I30" s="10">
        <v>0.54</v>
      </c>
      <c r="J30" s="7">
        <f t="shared" si="1"/>
        <v>696.6</v>
      </c>
      <c r="K30" s="10"/>
      <c r="L30" s="10"/>
      <c r="N30" s="10"/>
    </row>
    <row r="31" spans="2:14" ht="13.2" customHeight="1" x14ac:dyDescent="0.3">
      <c r="B31" s="4">
        <f t="shared" si="2"/>
        <v>22</v>
      </c>
      <c r="C31" s="5" t="s">
        <v>21</v>
      </c>
      <c r="D31" s="6" t="s">
        <v>194</v>
      </c>
      <c r="E31" s="4">
        <v>147</v>
      </c>
      <c r="F31" s="4"/>
      <c r="G31" s="7">
        <v>4.32</v>
      </c>
      <c r="H31" s="7">
        <f t="shared" si="0"/>
        <v>635.04000000000008</v>
      </c>
      <c r="I31" s="10">
        <v>4.32</v>
      </c>
      <c r="J31" s="7">
        <f t="shared" si="1"/>
        <v>635.04000000000008</v>
      </c>
      <c r="K31" s="10"/>
      <c r="L31" s="10"/>
      <c r="N31" s="10"/>
    </row>
    <row r="32" spans="2:14" ht="13.2" customHeight="1" x14ac:dyDescent="0.3">
      <c r="B32" s="4">
        <f t="shared" si="2"/>
        <v>23</v>
      </c>
      <c r="C32" s="5" t="s">
        <v>22</v>
      </c>
      <c r="D32" s="6" t="s">
        <v>194</v>
      </c>
      <c r="E32" s="4">
        <v>88</v>
      </c>
      <c r="F32" s="4"/>
      <c r="G32" s="7">
        <v>8.74</v>
      </c>
      <c r="H32" s="7">
        <f t="shared" si="0"/>
        <v>769.12</v>
      </c>
      <c r="I32" s="10">
        <v>8.74</v>
      </c>
      <c r="J32" s="7">
        <f t="shared" si="1"/>
        <v>769.12</v>
      </c>
      <c r="K32" s="10"/>
      <c r="L32" s="10"/>
      <c r="N32" s="10"/>
    </row>
    <row r="33" spans="2:14" ht="13.2" customHeight="1" x14ac:dyDescent="0.3">
      <c r="B33" s="4">
        <f t="shared" si="2"/>
        <v>24</v>
      </c>
      <c r="C33" s="5" t="s">
        <v>23</v>
      </c>
      <c r="D33" s="6" t="s">
        <v>194</v>
      </c>
      <c r="E33" s="4">
        <v>226</v>
      </c>
      <c r="F33" s="4"/>
      <c r="G33" s="7">
        <v>0.97</v>
      </c>
      <c r="H33" s="7">
        <f t="shared" si="0"/>
        <v>219.22</v>
      </c>
      <c r="I33" s="10">
        <v>0.97</v>
      </c>
      <c r="J33" s="7">
        <f t="shared" si="1"/>
        <v>219.22</v>
      </c>
      <c r="K33" s="10"/>
      <c r="L33" s="10"/>
      <c r="N33" s="10"/>
    </row>
    <row r="34" spans="2:14" ht="13.2" customHeight="1" x14ac:dyDescent="0.3">
      <c r="B34" s="4">
        <f t="shared" si="2"/>
        <v>25</v>
      </c>
      <c r="C34" s="5" t="s">
        <v>24</v>
      </c>
      <c r="D34" s="6" t="s">
        <v>194</v>
      </c>
      <c r="E34" s="4">
        <v>5</v>
      </c>
      <c r="F34" s="4"/>
      <c r="G34" s="7">
        <v>3.18</v>
      </c>
      <c r="H34" s="7">
        <f t="shared" si="0"/>
        <v>15.9</v>
      </c>
      <c r="I34" s="10">
        <v>3.18</v>
      </c>
      <c r="J34" s="7">
        <f t="shared" si="1"/>
        <v>15.9</v>
      </c>
      <c r="K34" s="10"/>
      <c r="L34" s="10"/>
      <c r="N34" s="10"/>
    </row>
    <row r="35" spans="2:14" ht="13.2" customHeight="1" x14ac:dyDescent="0.3">
      <c r="B35" s="4">
        <f t="shared" si="2"/>
        <v>26</v>
      </c>
      <c r="C35" s="5" t="s">
        <v>25</v>
      </c>
      <c r="D35" s="6" t="s">
        <v>194</v>
      </c>
      <c r="E35" s="4">
        <v>2</v>
      </c>
      <c r="F35" s="4"/>
      <c r="G35" s="7">
        <v>6.03</v>
      </c>
      <c r="H35" s="7">
        <f t="shared" si="0"/>
        <v>12.06</v>
      </c>
      <c r="I35" s="10">
        <v>6.03</v>
      </c>
      <c r="J35" s="7">
        <f t="shared" si="1"/>
        <v>12.06</v>
      </c>
      <c r="K35" s="10"/>
      <c r="L35" s="10"/>
      <c r="N35" s="10"/>
    </row>
    <row r="36" spans="2:14" ht="13.2" customHeight="1" x14ac:dyDescent="0.3">
      <c r="B36" s="4">
        <f t="shared" si="2"/>
        <v>27</v>
      </c>
      <c r="C36" s="5" t="s">
        <v>26</v>
      </c>
      <c r="D36" s="6" t="s">
        <v>194</v>
      </c>
      <c r="E36" s="4">
        <v>17</v>
      </c>
      <c r="F36" s="4"/>
      <c r="G36" s="7">
        <v>39.07</v>
      </c>
      <c r="H36" s="7">
        <f t="shared" si="0"/>
        <v>664.19</v>
      </c>
      <c r="I36" s="10">
        <v>39.07</v>
      </c>
      <c r="J36" s="7">
        <f t="shared" si="1"/>
        <v>664.19</v>
      </c>
      <c r="K36" s="10"/>
      <c r="L36" s="10"/>
      <c r="N36" s="10"/>
    </row>
    <row r="37" spans="2:14" ht="13.2" customHeight="1" x14ac:dyDescent="0.3">
      <c r="B37" s="4">
        <f t="shared" si="2"/>
        <v>28</v>
      </c>
      <c r="C37" s="5" t="s">
        <v>27</v>
      </c>
      <c r="D37" s="6" t="s">
        <v>194</v>
      </c>
      <c r="E37" s="4">
        <v>1018</v>
      </c>
      <c r="F37" s="4"/>
      <c r="G37" s="7">
        <v>0.28141109924948243</v>
      </c>
      <c r="H37" s="7">
        <f t="shared" si="0"/>
        <v>286.47649903597312</v>
      </c>
      <c r="I37" s="10">
        <v>0.28141109924948243</v>
      </c>
      <c r="J37" s="7">
        <f t="shared" si="1"/>
        <v>286.47649903597312</v>
      </c>
      <c r="K37" s="10"/>
      <c r="L37" s="10"/>
      <c r="N37" s="10"/>
    </row>
    <row r="38" spans="2:14" ht="13.2" customHeight="1" x14ac:dyDescent="0.3">
      <c r="B38" s="4">
        <f t="shared" si="2"/>
        <v>29</v>
      </c>
      <c r="C38" s="5" t="s">
        <v>28</v>
      </c>
      <c r="D38" s="6" t="s">
        <v>194</v>
      </c>
      <c r="E38" s="4">
        <v>747</v>
      </c>
      <c r="F38" s="4"/>
      <c r="G38" s="7">
        <v>0.47338285087297555</v>
      </c>
      <c r="H38" s="7">
        <f t="shared" si="0"/>
        <v>353.61698960211271</v>
      </c>
      <c r="I38" s="10">
        <v>0.47338285087297555</v>
      </c>
      <c r="J38" s="7">
        <f t="shared" si="1"/>
        <v>353.61698960211271</v>
      </c>
      <c r="K38" s="10"/>
      <c r="L38" s="10"/>
      <c r="N38" s="10"/>
    </row>
    <row r="39" spans="2:14" ht="13.2" customHeight="1" x14ac:dyDescent="0.3">
      <c r="B39" s="4">
        <f t="shared" si="2"/>
        <v>30</v>
      </c>
      <c r="C39" s="5" t="s">
        <v>29</v>
      </c>
      <c r="D39" s="6" t="s">
        <v>194</v>
      </c>
      <c r="E39" s="4">
        <v>808</v>
      </c>
      <c r="F39" s="4"/>
      <c r="G39" s="7">
        <v>2.02</v>
      </c>
      <c r="H39" s="7">
        <f t="shared" si="0"/>
        <v>1632.16</v>
      </c>
      <c r="I39" s="10">
        <v>2.02</v>
      </c>
      <c r="J39" s="7">
        <f t="shared" si="1"/>
        <v>1632.16</v>
      </c>
      <c r="K39" s="10"/>
      <c r="L39" s="10"/>
      <c r="N39" s="10"/>
    </row>
    <row r="40" spans="2:14" ht="13.2" customHeight="1" x14ac:dyDescent="0.3">
      <c r="B40" s="4">
        <f t="shared" si="2"/>
        <v>31</v>
      </c>
      <c r="C40" s="5" t="s">
        <v>30</v>
      </c>
      <c r="D40" s="6" t="s">
        <v>194</v>
      </c>
      <c r="E40" s="4">
        <v>474</v>
      </c>
      <c r="F40" s="4"/>
      <c r="G40" s="7">
        <v>1.0881310048066541</v>
      </c>
      <c r="H40" s="7">
        <f t="shared" si="0"/>
        <v>515.77409627835402</v>
      </c>
      <c r="I40" s="10">
        <v>1.0881310048066541</v>
      </c>
      <c r="J40" s="7">
        <f t="shared" si="1"/>
        <v>515.77409627835402</v>
      </c>
      <c r="K40" s="10"/>
      <c r="L40" s="10"/>
      <c r="N40" s="10"/>
    </row>
    <row r="41" spans="2:14" ht="13.2" customHeight="1" x14ac:dyDescent="0.3">
      <c r="B41" s="4">
        <f t="shared" si="2"/>
        <v>32</v>
      </c>
      <c r="C41" s="5" t="s">
        <v>31</v>
      </c>
      <c r="D41" s="6" t="s">
        <v>194</v>
      </c>
      <c r="E41" s="4">
        <v>64.977000000000004</v>
      </c>
      <c r="F41" s="4"/>
      <c r="G41" s="7">
        <v>1.901</v>
      </c>
      <c r="H41" s="7">
        <f t="shared" si="0"/>
        <v>123.52127700000001</v>
      </c>
      <c r="I41" s="10">
        <v>1.901</v>
      </c>
      <c r="J41" s="7">
        <f t="shared" si="1"/>
        <v>123.52127700000001</v>
      </c>
      <c r="K41" s="10"/>
      <c r="L41" s="10"/>
      <c r="N41" s="10"/>
    </row>
    <row r="42" spans="2:14" ht="13.2" customHeight="1" x14ac:dyDescent="0.3">
      <c r="B42" s="4">
        <f t="shared" si="2"/>
        <v>33</v>
      </c>
      <c r="C42" s="5" t="s">
        <v>32</v>
      </c>
      <c r="D42" s="6" t="s">
        <v>194</v>
      </c>
      <c r="E42" s="4">
        <v>95</v>
      </c>
      <c r="F42" s="4"/>
      <c r="G42" s="7">
        <v>1.83</v>
      </c>
      <c r="H42" s="7">
        <f t="shared" si="0"/>
        <v>173.85</v>
      </c>
      <c r="I42" s="10">
        <v>1.83</v>
      </c>
      <c r="J42" s="7">
        <f t="shared" si="1"/>
        <v>173.85</v>
      </c>
      <c r="K42" s="10"/>
      <c r="L42" s="10"/>
      <c r="N42" s="10"/>
    </row>
    <row r="43" spans="2:14" ht="13.2" customHeight="1" x14ac:dyDescent="0.3">
      <c r="B43" s="4">
        <f t="shared" si="2"/>
        <v>34</v>
      </c>
      <c r="C43" s="5" t="s">
        <v>33</v>
      </c>
      <c r="D43" s="6" t="s">
        <v>194</v>
      </c>
      <c r="E43" s="4">
        <v>10</v>
      </c>
      <c r="F43" s="4"/>
      <c r="G43" s="7">
        <v>3.34</v>
      </c>
      <c r="H43" s="7">
        <f t="shared" si="0"/>
        <v>33.4</v>
      </c>
      <c r="I43" s="10">
        <v>3.34</v>
      </c>
      <c r="J43" s="7">
        <f t="shared" si="1"/>
        <v>33.4</v>
      </c>
      <c r="K43" s="10"/>
      <c r="L43" s="10"/>
      <c r="N43" s="10"/>
    </row>
    <row r="44" spans="2:14" ht="13.2" customHeight="1" x14ac:dyDescent="0.3">
      <c r="B44" s="4">
        <f t="shared" si="2"/>
        <v>35</v>
      </c>
      <c r="C44" s="5" t="s">
        <v>34</v>
      </c>
      <c r="D44" s="6" t="s">
        <v>194</v>
      </c>
      <c r="E44" s="4">
        <v>1</v>
      </c>
      <c r="F44" s="4"/>
      <c r="G44" s="7">
        <v>6.77</v>
      </c>
      <c r="H44" s="7">
        <f t="shared" si="0"/>
        <v>6.77</v>
      </c>
      <c r="I44" s="10">
        <v>6.77</v>
      </c>
      <c r="J44" s="7">
        <f t="shared" si="1"/>
        <v>6.77</v>
      </c>
      <c r="K44" s="10"/>
      <c r="L44" s="10"/>
      <c r="N44" s="10"/>
    </row>
    <row r="45" spans="2:14" ht="13.2" customHeight="1" x14ac:dyDescent="0.3">
      <c r="B45" s="4">
        <f t="shared" si="2"/>
        <v>36</v>
      </c>
      <c r="C45" s="5" t="s">
        <v>35</v>
      </c>
      <c r="D45" s="6" t="s">
        <v>194</v>
      </c>
      <c r="E45" s="4">
        <v>252</v>
      </c>
      <c r="F45" s="4"/>
      <c r="G45" s="7">
        <v>2.02</v>
      </c>
      <c r="H45" s="7">
        <f t="shared" si="0"/>
        <v>509.04</v>
      </c>
      <c r="I45" s="10">
        <v>2.02</v>
      </c>
      <c r="J45" s="7">
        <f t="shared" si="1"/>
        <v>509.04</v>
      </c>
      <c r="K45" s="10"/>
      <c r="L45" s="10"/>
      <c r="N45" s="10"/>
    </row>
    <row r="46" spans="2:14" ht="13.2" customHeight="1" x14ac:dyDescent="0.3">
      <c r="B46" s="4">
        <f t="shared" si="2"/>
        <v>37</v>
      </c>
      <c r="C46" s="5" t="s">
        <v>36</v>
      </c>
      <c r="D46" s="6" t="s">
        <v>194</v>
      </c>
      <c r="E46" s="4">
        <v>30</v>
      </c>
      <c r="F46" s="4"/>
      <c r="G46" s="7">
        <v>1.901</v>
      </c>
      <c r="H46" s="7">
        <f t="shared" si="0"/>
        <v>57.03</v>
      </c>
      <c r="I46" s="10">
        <v>1.901</v>
      </c>
      <c r="J46" s="7">
        <f t="shared" si="1"/>
        <v>57.03</v>
      </c>
      <c r="K46" s="10"/>
      <c r="L46" s="10"/>
      <c r="N46" s="10"/>
    </row>
    <row r="47" spans="2:14" ht="13.2" customHeight="1" x14ac:dyDescent="0.3">
      <c r="B47" s="4">
        <f t="shared" si="2"/>
        <v>38</v>
      </c>
      <c r="C47" s="5" t="s">
        <v>37</v>
      </c>
      <c r="D47" s="6" t="s">
        <v>194</v>
      </c>
      <c r="E47" s="4">
        <v>14</v>
      </c>
      <c r="F47" s="4"/>
      <c r="G47" s="7">
        <v>1.83</v>
      </c>
      <c r="H47" s="7">
        <f t="shared" si="0"/>
        <v>25.62</v>
      </c>
      <c r="I47" s="10">
        <v>1.83</v>
      </c>
      <c r="J47" s="7">
        <f t="shared" si="1"/>
        <v>25.62</v>
      </c>
      <c r="K47" s="10"/>
      <c r="L47" s="10"/>
      <c r="N47" s="10"/>
    </row>
    <row r="48" spans="2:14" ht="13.2" customHeight="1" x14ac:dyDescent="0.3">
      <c r="B48" s="4">
        <f t="shared" si="2"/>
        <v>39</v>
      </c>
      <c r="C48" s="5" t="s">
        <v>38</v>
      </c>
      <c r="D48" s="6" t="s">
        <v>194</v>
      </c>
      <c r="E48" s="4">
        <v>25</v>
      </c>
      <c r="F48" s="4"/>
      <c r="G48" s="7">
        <v>8.35</v>
      </c>
      <c r="H48" s="7">
        <f t="shared" si="0"/>
        <v>208.75</v>
      </c>
      <c r="I48" s="10">
        <v>8.35</v>
      </c>
      <c r="J48" s="7">
        <f t="shared" si="1"/>
        <v>208.75</v>
      </c>
      <c r="K48" s="10"/>
      <c r="L48" s="10"/>
      <c r="N48" s="10"/>
    </row>
    <row r="49" spans="2:14" ht="13.2" customHeight="1" x14ac:dyDescent="0.3">
      <c r="B49" s="4">
        <f t="shared" si="2"/>
        <v>40</v>
      </c>
      <c r="C49" s="5" t="s">
        <v>39</v>
      </c>
      <c r="D49" s="6" t="s">
        <v>194</v>
      </c>
      <c r="E49" s="4">
        <v>10</v>
      </c>
      <c r="F49" s="4"/>
      <c r="G49" s="7">
        <v>8.51</v>
      </c>
      <c r="H49" s="7">
        <f t="shared" si="0"/>
        <v>85.1</v>
      </c>
      <c r="I49" s="10">
        <v>8.51</v>
      </c>
      <c r="J49" s="7">
        <f t="shared" si="1"/>
        <v>85.1</v>
      </c>
      <c r="K49" s="10"/>
      <c r="L49" s="10"/>
      <c r="N49" s="10"/>
    </row>
    <row r="50" spans="2:14" ht="13.2" customHeight="1" x14ac:dyDescent="0.3">
      <c r="B50" s="4">
        <f t="shared" si="2"/>
        <v>41</v>
      </c>
      <c r="C50" s="5" t="s">
        <v>40</v>
      </c>
      <c r="D50" s="6" t="s">
        <v>194</v>
      </c>
      <c r="E50" s="4">
        <v>210</v>
      </c>
      <c r="F50" s="4"/>
      <c r="G50" s="7">
        <v>0.66431296083594793</v>
      </c>
      <c r="H50" s="7">
        <f t="shared" si="0"/>
        <v>139.50572177554906</v>
      </c>
      <c r="I50" s="10">
        <v>0.66431296083594793</v>
      </c>
      <c r="J50" s="7">
        <f t="shared" si="1"/>
        <v>139.50572177554906</v>
      </c>
      <c r="K50" s="10"/>
      <c r="L50" s="10"/>
      <c r="N50" s="10"/>
    </row>
    <row r="51" spans="2:14" ht="13.2" customHeight="1" x14ac:dyDescent="0.3">
      <c r="B51" s="4">
        <f t="shared" si="2"/>
        <v>42</v>
      </c>
      <c r="C51" s="5" t="s">
        <v>41</v>
      </c>
      <c r="D51" s="6" t="s">
        <v>194</v>
      </c>
      <c r="E51" s="4">
        <v>320</v>
      </c>
      <c r="F51" s="4"/>
      <c r="G51" s="7">
        <v>1.0945707866710583</v>
      </c>
      <c r="H51" s="7">
        <f t="shared" si="0"/>
        <v>350.26265173473865</v>
      </c>
      <c r="I51" s="10">
        <v>1.0945707866710583</v>
      </c>
      <c r="J51" s="7">
        <f t="shared" si="1"/>
        <v>350.26265173473865</v>
      </c>
      <c r="K51" s="10"/>
      <c r="L51" s="10"/>
      <c r="N51" s="10"/>
    </row>
    <row r="52" spans="2:14" ht="13.2" customHeight="1" x14ac:dyDescent="0.3">
      <c r="B52" s="4">
        <f t="shared" si="2"/>
        <v>43</v>
      </c>
      <c r="C52" s="5" t="s">
        <v>42</v>
      </c>
      <c r="D52" s="6" t="s">
        <v>194</v>
      </c>
      <c r="E52" s="4">
        <v>300</v>
      </c>
      <c r="F52" s="4"/>
      <c r="G52" s="7">
        <v>2.3199999999999998</v>
      </c>
      <c r="H52" s="7">
        <f t="shared" si="0"/>
        <v>696</v>
      </c>
      <c r="I52" s="10">
        <v>2.3199999999999998</v>
      </c>
      <c r="J52" s="7">
        <f t="shared" si="1"/>
        <v>696</v>
      </c>
      <c r="K52" s="10"/>
      <c r="L52" s="10"/>
      <c r="N52" s="10"/>
    </row>
    <row r="53" spans="2:14" ht="13.2" customHeight="1" x14ac:dyDescent="0.3">
      <c r="B53" s="4">
        <f t="shared" si="2"/>
        <v>44</v>
      </c>
      <c r="C53" s="5" t="s">
        <v>43</v>
      </c>
      <c r="D53" s="6" t="s">
        <v>194</v>
      </c>
      <c r="E53" s="4">
        <v>50</v>
      </c>
      <c r="F53" s="4"/>
      <c r="G53" s="7">
        <v>4.2</v>
      </c>
      <c r="H53" s="7">
        <f t="shared" si="0"/>
        <v>210</v>
      </c>
      <c r="I53" s="10">
        <v>4.2</v>
      </c>
      <c r="J53" s="7">
        <f t="shared" si="1"/>
        <v>210</v>
      </c>
      <c r="K53" s="10"/>
      <c r="L53" s="10"/>
      <c r="N53" s="10"/>
    </row>
    <row r="54" spans="2:14" ht="13.2" customHeight="1" x14ac:dyDescent="0.3">
      <c r="B54" s="4">
        <f t="shared" si="2"/>
        <v>45</v>
      </c>
      <c r="C54" s="5" t="s">
        <v>44</v>
      </c>
      <c r="D54" s="6" t="s">
        <v>194</v>
      </c>
      <c r="E54" s="4">
        <v>114</v>
      </c>
      <c r="F54" s="4"/>
      <c r="G54" s="7">
        <v>3.88</v>
      </c>
      <c r="H54" s="7">
        <f t="shared" si="0"/>
        <v>442.32</v>
      </c>
      <c r="I54" s="10">
        <v>3.88</v>
      </c>
      <c r="J54" s="7">
        <f t="shared" si="1"/>
        <v>442.32</v>
      </c>
      <c r="K54" s="10"/>
      <c r="L54" s="10"/>
      <c r="N54" s="10"/>
    </row>
    <row r="55" spans="2:14" ht="13.2" customHeight="1" x14ac:dyDescent="0.3">
      <c r="B55" s="4">
        <f t="shared" si="2"/>
        <v>46</v>
      </c>
      <c r="C55" s="5" t="s">
        <v>45</v>
      </c>
      <c r="D55" s="6" t="s">
        <v>194</v>
      </c>
      <c r="E55" s="4">
        <v>164</v>
      </c>
      <c r="F55" s="4"/>
      <c r="G55" s="7">
        <v>13.817598254277172</v>
      </c>
      <c r="H55" s="7">
        <f t="shared" si="0"/>
        <v>2266.0861137014563</v>
      </c>
      <c r="I55" s="10">
        <v>13.817598254277172</v>
      </c>
      <c r="J55" s="7">
        <f t="shared" si="1"/>
        <v>2266.0861137014563</v>
      </c>
      <c r="K55" s="10"/>
      <c r="L55" s="10"/>
      <c r="N55" s="10"/>
    </row>
    <row r="56" spans="2:14" ht="13.2" customHeight="1" x14ac:dyDescent="0.3">
      <c r="B56" s="4">
        <f t="shared" si="2"/>
        <v>47</v>
      </c>
      <c r="C56" s="5" t="s">
        <v>46</v>
      </c>
      <c r="D56" s="6" t="s">
        <v>194</v>
      </c>
      <c r="E56" s="4">
        <v>1467</v>
      </c>
      <c r="F56" s="4"/>
      <c r="G56" s="7">
        <v>0.71752363616521642</v>
      </c>
      <c r="H56" s="7">
        <f t="shared" si="0"/>
        <v>1052.6071742543725</v>
      </c>
      <c r="I56" s="10">
        <v>0.71752363616521642</v>
      </c>
      <c r="J56" s="7">
        <f t="shared" si="1"/>
        <v>1052.6071742543725</v>
      </c>
      <c r="K56" s="10"/>
      <c r="L56" s="10"/>
      <c r="N56" s="10"/>
    </row>
    <row r="57" spans="2:14" ht="13.2" customHeight="1" x14ac:dyDescent="0.3">
      <c r="B57" s="4">
        <f t="shared" si="2"/>
        <v>48</v>
      </c>
      <c r="C57" s="5" t="s">
        <v>47</v>
      </c>
      <c r="D57" s="6" t="s">
        <v>194</v>
      </c>
      <c r="E57" s="4">
        <v>84</v>
      </c>
      <c r="F57" s="4"/>
      <c r="G57" s="7">
        <v>1.66</v>
      </c>
      <c r="H57" s="7">
        <f t="shared" si="0"/>
        <v>139.44</v>
      </c>
      <c r="I57" s="10">
        <v>1.66</v>
      </c>
      <c r="J57" s="7">
        <f t="shared" si="1"/>
        <v>139.44</v>
      </c>
      <c r="K57" s="10"/>
      <c r="L57" s="10"/>
      <c r="N57" s="10"/>
    </row>
    <row r="58" spans="2:14" ht="13.2" customHeight="1" x14ac:dyDescent="0.3">
      <c r="B58" s="4">
        <f t="shared" si="2"/>
        <v>49</v>
      </c>
      <c r="C58" s="5" t="s">
        <v>48</v>
      </c>
      <c r="D58" s="6" t="s">
        <v>194</v>
      </c>
      <c r="E58" s="4">
        <v>50</v>
      </c>
      <c r="F58" s="4"/>
      <c r="G58" s="7">
        <v>5.93</v>
      </c>
      <c r="H58" s="7">
        <f t="shared" si="0"/>
        <v>296.5</v>
      </c>
      <c r="I58" s="10">
        <v>5.93</v>
      </c>
      <c r="J58" s="7">
        <f t="shared" si="1"/>
        <v>296.5</v>
      </c>
      <c r="K58" s="10"/>
      <c r="L58" s="10"/>
      <c r="N58" s="10"/>
    </row>
    <row r="59" spans="2:14" ht="13.2" customHeight="1" x14ac:dyDescent="0.3">
      <c r="B59" s="4">
        <f t="shared" si="2"/>
        <v>50</v>
      </c>
      <c r="C59" s="5" t="s">
        <v>49</v>
      </c>
      <c r="D59" s="6" t="s">
        <v>194</v>
      </c>
      <c r="E59" s="4">
        <v>60</v>
      </c>
      <c r="F59" s="4"/>
      <c r="G59" s="7">
        <v>16.713999999999999</v>
      </c>
      <c r="H59" s="7">
        <f t="shared" si="0"/>
        <v>1002.8399999999999</v>
      </c>
      <c r="I59" s="10">
        <v>16.713999999999999</v>
      </c>
      <c r="J59" s="7">
        <f t="shared" si="1"/>
        <v>1002.8399999999999</v>
      </c>
      <c r="K59" s="10"/>
      <c r="L59" s="10"/>
      <c r="N59" s="10"/>
    </row>
    <row r="60" spans="2:14" ht="13.2" customHeight="1" x14ac:dyDescent="0.3">
      <c r="B60" s="4">
        <f t="shared" si="2"/>
        <v>51</v>
      </c>
      <c r="C60" s="5" t="s">
        <v>50</v>
      </c>
      <c r="D60" s="6" t="s">
        <v>194</v>
      </c>
      <c r="E60" s="4">
        <v>32</v>
      </c>
      <c r="F60" s="4"/>
      <c r="G60" s="7">
        <v>5.91</v>
      </c>
      <c r="H60" s="7">
        <f t="shared" si="0"/>
        <v>189.12</v>
      </c>
      <c r="I60" s="10">
        <v>5.91</v>
      </c>
      <c r="J60" s="7">
        <f t="shared" si="1"/>
        <v>189.12</v>
      </c>
      <c r="K60" s="10"/>
      <c r="L60" s="10"/>
      <c r="N60" s="10"/>
    </row>
    <row r="61" spans="2:14" ht="13.2" customHeight="1" x14ac:dyDescent="0.3">
      <c r="B61" s="4">
        <f t="shared" si="2"/>
        <v>52</v>
      </c>
      <c r="C61" s="5" t="s">
        <v>51</v>
      </c>
      <c r="D61" s="6" t="s">
        <v>194</v>
      </c>
      <c r="E61" s="4">
        <v>76</v>
      </c>
      <c r="F61" s="4"/>
      <c r="G61" s="7">
        <v>15.25</v>
      </c>
      <c r="H61" s="7">
        <f t="shared" si="0"/>
        <v>1159</v>
      </c>
      <c r="I61" s="10">
        <v>15.25</v>
      </c>
      <c r="J61" s="7">
        <f t="shared" si="1"/>
        <v>1159</v>
      </c>
      <c r="K61" s="10"/>
      <c r="L61" s="10"/>
      <c r="N61" s="10"/>
    </row>
    <row r="62" spans="2:14" ht="13.2" customHeight="1" x14ac:dyDescent="0.3">
      <c r="B62" s="4">
        <f t="shared" si="2"/>
        <v>53</v>
      </c>
      <c r="C62" s="5" t="s">
        <v>52</v>
      </c>
      <c r="D62" s="6" t="s">
        <v>194</v>
      </c>
      <c r="E62" s="4">
        <v>35</v>
      </c>
      <c r="F62" s="4"/>
      <c r="G62" s="7">
        <v>11.13</v>
      </c>
      <c r="H62" s="7">
        <f t="shared" ref="H62:H112" si="3">E62*G62</f>
        <v>389.55</v>
      </c>
      <c r="I62" s="10">
        <v>11.13</v>
      </c>
      <c r="J62" s="7">
        <f t="shared" ref="J62:J112" si="4">E62*I62</f>
        <v>389.55</v>
      </c>
      <c r="K62" s="10"/>
      <c r="L62" s="10"/>
      <c r="N62" s="10"/>
    </row>
    <row r="63" spans="2:14" ht="13.2" customHeight="1" x14ac:dyDescent="0.3">
      <c r="B63" s="4">
        <f t="shared" si="2"/>
        <v>54</v>
      </c>
      <c r="C63" s="5" t="s">
        <v>53</v>
      </c>
      <c r="D63" s="6" t="s">
        <v>194</v>
      </c>
      <c r="E63" s="4">
        <v>652</v>
      </c>
      <c r="F63" s="4"/>
      <c r="G63" s="7">
        <v>2.08</v>
      </c>
      <c r="H63" s="7">
        <f t="shared" si="3"/>
        <v>1356.16</v>
      </c>
      <c r="I63" s="10">
        <v>2.08</v>
      </c>
      <c r="J63" s="7">
        <f t="shared" si="4"/>
        <v>1356.16</v>
      </c>
      <c r="K63" s="10"/>
      <c r="L63" s="10"/>
      <c r="N63" s="10"/>
    </row>
    <row r="64" spans="2:14" ht="13.2" customHeight="1" x14ac:dyDescent="0.3">
      <c r="B64" s="4">
        <f t="shared" si="2"/>
        <v>55</v>
      </c>
      <c r="C64" s="5" t="s">
        <v>54</v>
      </c>
      <c r="D64" s="6" t="s">
        <v>194</v>
      </c>
      <c r="E64" s="4">
        <v>1075</v>
      </c>
      <c r="F64" s="4"/>
      <c r="G64" s="7">
        <v>2.69</v>
      </c>
      <c r="H64" s="7">
        <f t="shared" si="3"/>
        <v>2891.75</v>
      </c>
      <c r="I64" s="10">
        <v>2.69</v>
      </c>
      <c r="J64" s="7">
        <f t="shared" si="4"/>
        <v>2891.75</v>
      </c>
      <c r="K64" s="10"/>
      <c r="L64" s="10"/>
      <c r="N64" s="10"/>
    </row>
    <row r="65" spans="2:14" ht="13.2" customHeight="1" x14ac:dyDescent="0.3">
      <c r="B65" s="4">
        <f t="shared" si="2"/>
        <v>56</v>
      </c>
      <c r="C65" s="5" t="s">
        <v>55</v>
      </c>
      <c r="D65" s="6" t="s">
        <v>194</v>
      </c>
      <c r="E65" s="4">
        <v>33</v>
      </c>
      <c r="F65" s="4"/>
      <c r="G65" s="7">
        <v>99.95</v>
      </c>
      <c r="H65" s="7">
        <f t="shared" si="3"/>
        <v>3298.35</v>
      </c>
      <c r="I65" s="10">
        <v>99.95</v>
      </c>
      <c r="J65" s="7">
        <f t="shared" si="4"/>
        <v>3298.35</v>
      </c>
      <c r="K65" s="10"/>
      <c r="L65" s="10"/>
      <c r="N65" s="10"/>
    </row>
    <row r="66" spans="2:14" ht="13.2" customHeight="1" x14ac:dyDescent="0.3">
      <c r="B66" s="4">
        <f t="shared" si="2"/>
        <v>57</v>
      </c>
      <c r="C66" s="5" t="s">
        <v>56</v>
      </c>
      <c r="D66" s="6" t="s">
        <v>194</v>
      </c>
      <c r="E66" s="4">
        <v>1399</v>
      </c>
      <c r="F66" s="4"/>
      <c r="G66" s="7">
        <v>0.6531195634021878</v>
      </c>
      <c r="H66" s="7">
        <f t="shared" si="3"/>
        <v>913.71426919966075</v>
      </c>
      <c r="I66" s="10">
        <v>0.6531195634021878</v>
      </c>
      <c r="J66" s="7">
        <f t="shared" si="4"/>
        <v>913.71426919966075</v>
      </c>
      <c r="K66" s="10"/>
      <c r="L66" s="10"/>
      <c r="N66" s="10"/>
    </row>
    <row r="67" spans="2:14" ht="13.2" customHeight="1" x14ac:dyDescent="0.3">
      <c r="B67" s="4">
        <f t="shared" si="2"/>
        <v>58</v>
      </c>
      <c r="C67" s="5" t="s">
        <v>57</v>
      </c>
      <c r="D67" s="6" t="s">
        <v>194</v>
      </c>
      <c r="E67" s="4">
        <v>3552</v>
      </c>
      <c r="F67" s="4"/>
      <c r="G67" s="7">
        <v>0.77</v>
      </c>
      <c r="H67" s="7">
        <f t="shared" si="3"/>
        <v>2735.04</v>
      </c>
      <c r="I67" s="10">
        <v>0.77</v>
      </c>
      <c r="J67" s="7">
        <f t="shared" si="4"/>
        <v>2735.04</v>
      </c>
      <c r="K67" s="10"/>
      <c r="L67" s="10"/>
      <c r="N67" s="10"/>
    </row>
    <row r="68" spans="2:14" ht="13.2" customHeight="1" x14ac:dyDescent="0.3">
      <c r="B68" s="4">
        <f t="shared" si="2"/>
        <v>59</v>
      </c>
      <c r="C68" s="5" t="s">
        <v>58</v>
      </c>
      <c r="D68" s="6" t="s">
        <v>194</v>
      </c>
      <c r="E68" s="4">
        <v>1009</v>
      </c>
      <c r="F68" s="4"/>
      <c r="G68" s="7">
        <v>2.2400000000000002</v>
      </c>
      <c r="H68" s="7">
        <f t="shared" si="3"/>
        <v>2260.1600000000003</v>
      </c>
      <c r="I68" s="10">
        <v>2.2400000000000002</v>
      </c>
      <c r="J68" s="7">
        <f t="shared" si="4"/>
        <v>2260.1600000000003</v>
      </c>
      <c r="K68" s="10"/>
      <c r="L68" s="10"/>
      <c r="N68" s="10"/>
    </row>
    <row r="69" spans="2:14" ht="13.2" customHeight="1" x14ac:dyDescent="0.3">
      <c r="B69" s="4">
        <f t="shared" si="2"/>
        <v>60</v>
      </c>
      <c r="C69" s="5" t="s">
        <v>59</v>
      </c>
      <c r="D69" s="6" t="s">
        <v>194</v>
      </c>
      <c r="E69" s="4">
        <v>1726</v>
      </c>
      <c r="F69" s="4"/>
      <c r="G69" s="7">
        <v>3.09</v>
      </c>
      <c r="H69" s="7">
        <f t="shared" si="3"/>
        <v>5333.34</v>
      </c>
      <c r="I69" s="10">
        <v>3.09</v>
      </c>
      <c r="J69" s="7">
        <f t="shared" si="4"/>
        <v>5333.34</v>
      </c>
      <c r="K69" s="10"/>
      <c r="L69" s="10"/>
      <c r="N69" s="10"/>
    </row>
    <row r="70" spans="2:14" ht="13.2" customHeight="1" x14ac:dyDescent="0.3">
      <c r="B70" s="4">
        <f t="shared" si="2"/>
        <v>61</v>
      </c>
      <c r="C70" s="5" t="s">
        <v>60</v>
      </c>
      <c r="D70" s="6" t="s">
        <v>194</v>
      </c>
      <c r="E70" s="4">
        <v>755</v>
      </c>
      <c r="F70" s="4"/>
      <c r="G70" s="7">
        <v>4</v>
      </c>
      <c r="H70" s="7">
        <f t="shared" si="3"/>
        <v>3020</v>
      </c>
      <c r="I70" s="10">
        <v>4</v>
      </c>
      <c r="J70" s="7">
        <f t="shared" si="4"/>
        <v>3020</v>
      </c>
      <c r="K70" s="10"/>
      <c r="L70" s="10"/>
      <c r="N70" s="10"/>
    </row>
    <row r="71" spans="2:14" ht="13.2" customHeight="1" x14ac:dyDescent="0.3">
      <c r="B71" s="4">
        <f t="shared" si="2"/>
        <v>62</v>
      </c>
      <c r="C71" s="5" t="s">
        <v>61</v>
      </c>
      <c r="D71" s="6" t="s">
        <v>194</v>
      </c>
      <c r="E71" s="4">
        <v>38</v>
      </c>
      <c r="F71" s="4"/>
      <c r="G71" s="7">
        <v>11.375999999999999</v>
      </c>
      <c r="H71" s="7">
        <f t="shared" si="3"/>
        <v>432.28799999999995</v>
      </c>
      <c r="I71" s="10">
        <v>11.375999999999999</v>
      </c>
      <c r="J71" s="7">
        <f t="shared" si="4"/>
        <v>432.28799999999995</v>
      </c>
      <c r="K71" s="10"/>
      <c r="L71" s="10"/>
      <c r="N71" s="10"/>
    </row>
    <row r="72" spans="2:14" ht="13.2" customHeight="1" x14ac:dyDescent="0.3">
      <c r="B72" s="4">
        <f t="shared" si="2"/>
        <v>63</v>
      </c>
      <c r="C72" s="5" t="s">
        <v>62</v>
      </c>
      <c r="D72" s="6" t="s">
        <v>194</v>
      </c>
      <c r="E72" s="4">
        <v>603</v>
      </c>
      <c r="F72" s="4"/>
      <c r="G72" s="7">
        <v>31.91</v>
      </c>
      <c r="H72" s="7">
        <f t="shared" si="3"/>
        <v>19241.73</v>
      </c>
      <c r="I72" s="10">
        <v>31.91</v>
      </c>
      <c r="J72" s="7">
        <f t="shared" si="4"/>
        <v>19241.73</v>
      </c>
      <c r="K72" s="10"/>
      <c r="L72" s="10"/>
      <c r="N72" s="10"/>
    </row>
    <row r="73" spans="2:14" ht="13.2" customHeight="1" x14ac:dyDescent="0.3">
      <c r="B73" s="4">
        <f t="shared" si="2"/>
        <v>64</v>
      </c>
      <c r="C73" s="5" t="s">
        <v>63</v>
      </c>
      <c r="D73" s="6" t="s">
        <v>194</v>
      </c>
      <c r="E73" s="4">
        <v>80</v>
      </c>
      <c r="F73" s="4"/>
      <c r="G73" s="7">
        <v>37.89</v>
      </c>
      <c r="H73" s="7">
        <f t="shared" si="3"/>
        <v>3031.2</v>
      </c>
      <c r="I73" s="10">
        <v>37.89</v>
      </c>
      <c r="J73" s="7">
        <f t="shared" si="4"/>
        <v>3031.2</v>
      </c>
      <c r="K73" s="10"/>
      <c r="L73" s="10"/>
      <c r="N73" s="10"/>
    </row>
    <row r="74" spans="2:14" ht="13.2" customHeight="1" x14ac:dyDescent="0.3">
      <c r="B74" s="4">
        <f t="shared" si="2"/>
        <v>65</v>
      </c>
      <c r="C74" s="5" t="s">
        <v>64</v>
      </c>
      <c r="D74" s="6" t="s">
        <v>194</v>
      </c>
      <c r="E74" s="4">
        <v>1870</v>
      </c>
      <c r="F74" s="4"/>
      <c r="G74" s="7">
        <v>2.74</v>
      </c>
      <c r="H74" s="7">
        <f t="shared" si="3"/>
        <v>5123.8</v>
      </c>
      <c r="I74" s="10">
        <v>2.74</v>
      </c>
      <c r="J74" s="7">
        <f t="shared" si="4"/>
        <v>5123.8</v>
      </c>
      <c r="K74" s="10"/>
      <c r="L74" s="10"/>
      <c r="N74" s="10"/>
    </row>
    <row r="75" spans="2:14" ht="13.2" customHeight="1" x14ac:dyDescent="0.3">
      <c r="B75" s="4">
        <f t="shared" si="2"/>
        <v>66</v>
      </c>
      <c r="C75" s="5" t="s">
        <v>65</v>
      </c>
      <c r="D75" s="6" t="s">
        <v>194</v>
      </c>
      <c r="E75" s="4">
        <v>265</v>
      </c>
      <c r="F75" s="4"/>
      <c r="G75" s="7">
        <v>22.470879579472331</v>
      </c>
      <c r="H75" s="7">
        <f t="shared" si="3"/>
        <v>5954.7830885601679</v>
      </c>
      <c r="I75" s="10">
        <v>22.470879579472331</v>
      </c>
      <c r="J75" s="7">
        <f t="shared" si="4"/>
        <v>5954.7830885601679</v>
      </c>
      <c r="K75" s="10"/>
      <c r="L75" s="10"/>
      <c r="N75" s="10"/>
    </row>
    <row r="76" spans="2:14" ht="13.2" customHeight="1" x14ac:dyDescent="0.3">
      <c r="B76" s="4">
        <f t="shared" ref="B76:B139" si="5">B75+1</f>
        <v>67</v>
      </c>
      <c r="C76" s="5" t="s">
        <v>66</v>
      </c>
      <c r="D76" s="6" t="s">
        <v>194</v>
      </c>
      <c r="E76" s="4">
        <v>6155</v>
      </c>
      <c r="F76" s="4"/>
      <c r="G76" s="7">
        <v>1.06</v>
      </c>
      <c r="H76" s="7">
        <f t="shared" si="3"/>
        <v>6524.3</v>
      </c>
      <c r="I76" s="10">
        <v>1.06</v>
      </c>
      <c r="J76" s="7">
        <f t="shared" si="4"/>
        <v>6524.3</v>
      </c>
      <c r="K76" s="10"/>
      <c r="L76" s="10"/>
      <c r="N76" s="10"/>
    </row>
    <row r="77" spans="2:14" ht="13.2" customHeight="1" x14ac:dyDescent="0.3">
      <c r="B77" s="4">
        <f t="shared" si="5"/>
        <v>68</v>
      </c>
      <c r="C77" s="5" t="s">
        <v>67</v>
      </c>
      <c r="D77" s="6" t="s">
        <v>194</v>
      </c>
      <c r="E77" s="4">
        <v>2112</v>
      </c>
      <c r="F77" s="4"/>
      <c r="G77" s="7">
        <v>1.65</v>
      </c>
      <c r="H77" s="7">
        <f t="shared" si="3"/>
        <v>3484.7999999999997</v>
      </c>
      <c r="I77" s="10">
        <v>1.65</v>
      </c>
      <c r="J77" s="7">
        <f t="shared" si="4"/>
        <v>3484.7999999999997</v>
      </c>
      <c r="K77" s="10"/>
      <c r="L77" s="10"/>
      <c r="N77" s="10"/>
    </row>
    <row r="78" spans="2:14" ht="13.2" customHeight="1" x14ac:dyDescent="0.3">
      <c r="B78" s="4">
        <f t="shared" si="5"/>
        <v>69</v>
      </c>
      <c r="C78" s="5" t="s">
        <v>68</v>
      </c>
      <c r="D78" s="6" t="s">
        <v>194</v>
      </c>
      <c r="E78" s="4">
        <v>1834</v>
      </c>
      <c r="F78" s="4"/>
      <c r="G78" s="7">
        <v>3.56</v>
      </c>
      <c r="H78" s="7">
        <f t="shared" si="3"/>
        <v>6529.04</v>
      </c>
      <c r="I78" s="10">
        <v>3.56</v>
      </c>
      <c r="J78" s="7">
        <f t="shared" si="4"/>
        <v>6529.04</v>
      </c>
      <c r="K78" s="10"/>
      <c r="L78" s="10"/>
      <c r="N78" s="10"/>
    </row>
    <row r="79" spans="2:14" ht="13.2" customHeight="1" x14ac:dyDescent="0.3">
      <c r="B79" s="4">
        <f t="shared" si="5"/>
        <v>70</v>
      </c>
      <c r="C79" s="5" t="s">
        <v>69</v>
      </c>
      <c r="D79" s="6" t="s">
        <v>194</v>
      </c>
      <c r="E79" s="4">
        <v>278</v>
      </c>
      <c r="F79" s="4"/>
      <c r="G79" s="7">
        <v>9</v>
      </c>
      <c r="H79" s="7">
        <f t="shared" si="3"/>
        <v>2502</v>
      </c>
      <c r="I79" s="10">
        <v>9</v>
      </c>
      <c r="J79" s="7">
        <f t="shared" si="4"/>
        <v>2502</v>
      </c>
      <c r="K79" s="10"/>
      <c r="L79" s="10"/>
      <c r="N79" s="10"/>
    </row>
    <row r="80" spans="2:14" ht="13.2" customHeight="1" x14ac:dyDescent="0.3">
      <c r="B80" s="4">
        <f t="shared" si="5"/>
        <v>71</v>
      </c>
      <c r="C80" s="5" t="s">
        <v>70</v>
      </c>
      <c r="D80" s="6" t="s">
        <v>194</v>
      </c>
      <c r="E80" s="4">
        <v>226</v>
      </c>
      <c r="F80" s="4"/>
      <c r="G80" s="7">
        <v>23.585555868972925</v>
      </c>
      <c r="H80" s="7">
        <f t="shared" si="3"/>
        <v>5330.3356263878813</v>
      </c>
      <c r="I80" s="10">
        <v>23.585555868972925</v>
      </c>
      <c r="J80" s="7">
        <f t="shared" si="4"/>
        <v>5330.3356263878813</v>
      </c>
      <c r="K80" s="10"/>
      <c r="L80" s="10"/>
      <c r="N80" s="10"/>
    </row>
    <row r="81" spans="2:14" ht="13.2" customHeight="1" x14ac:dyDescent="0.3">
      <c r="B81" s="4">
        <f t="shared" si="5"/>
        <v>72</v>
      </c>
      <c r="C81" s="5" t="s">
        <v>71</v>
      </c>
      <c r="D81" s="6" t="s">
        <v>194</v>
      </c>
      <c r="E81" s="4">
        <v>150</v>
      </c>
      <c r="F81" s="4"/>
      <c r="G81" s="7">
        <v>5.8381365687187259</v>
      </c>
      <c r="H81" s="7">
        <f t="shared" si="3"/>
        <v>875.72048530780887</v>
      </c>
      <c r="I81" s="10">
        <v>5.8381365687187259</v>
      </c>
      <c r="J81" s="7">
        <f t="shared" si="4"/>
        <v>875.72048530780887</v>
      </c>
      <c r="K81" s="10"/>
      <c r="L81" s="10"/>
      <c r="N81" s="10"/>
    </row>
    <row r="82" spans="2:14" ht="13.2" customHeight="1" x14ac:dyDescent="0.3">
      <c r="B82" s="4">
        <f t="shared" si="5"/>
        <v>73</v>
      </c>
      <c r="C82" s="5" t="s">
        <v>72</v>
      </c>
      <c r="D82" s="6" t="s">
        <v>194</v>
      </c>
      <c r="E82" s="4">
        <v>19</v>
      </c>
      <c r="F82" s="4"/>
      <c r="G82" s="7">
        <v>117.77</v>
      </c>
      <c r="H82" s="7">
        <f t="shared" si="3"/>
        <v>2237.63</v>
      </c>
      <c r="I82" s="10">
        <v>117.77</v>
      </c>
      <c r="J82" s="7">
        <f t="shared" si="4"/>
        <v>2237.63</v>
      </c>
      <c r="K82" s="10"/>
      <c r="L82" s="10"/>
      <c r="N82" s="10"/>
    </row>
    <row r="83" spans="2:14" ht="13.2" customHeight="1" x14ac:dyDescent="0.3">
      <c r="B83" s="4">
        <f t="shared" si="5"/>
        <v>74</v>
      </c>
      <c r="C83" s="5" t="s">
        <v>73</v>
      </c>
      <c r="D83" s="6" t="s">
        <v>194</v>
      </c>
      <c r="E83" s="4">
        <v>1619</v>
      </c>
      <c r="F83" s="4"/>
      <c r="G83" s="7">
        <v>0.29415395672990868</v>
      </c>
      <c r="H83" s="7">
        <f t="shared" si="3"/>
        <v>476.23525594572214</v>
      </c>
      <c r="I83" s="10">
        <v>0.29415395672990868</v>
      </c>
      <c r="J83" s="7">
        <f t="shared" si="4"/>
        <v>476.23525594572214</v>
      </c>
      <c r="K83" s="10"/>
      <c r="L83" s="10"/>
      <c r="N83" s="10"/>
    </row>
    <row r="84" spans="2:14" ht="13.2" customHeight="1" x14ac:dyDescent="0.3">
      <c r="B84" s="4">
        <f t="shared" si="5"/>
        <v>75</v>
      </c>
      <c r="C84" s="5" t="s">
        <v>74</v>
      </c>
      <c r="D84" s="6" t="s">
        <v>194</v>
      </c>
      <c r="E84" s="4">
        <v>6366</v>
      </c>
      <c r="F84" s="4"/>
      <c r="G84" s="7">
        <v>0.24</v>
      </c>
      <c r="H84" s="7">
        <f t="shared" si="3"/>
        <v>1527.84</v>
      </c>
      <c r="I84" s="10">
        <v>0.24</v>
      </c>
      <c r="J84" s="7">
        <f t="shared" si="4"/>
        <v>1527.84</v>
      </c>
      <c r="K84" s="10"/>
      <c r="L84" s="10"/>
      <c r="N84" s="10"/>
    </row>
    <row r="85" spans="2:14" ht="13.2" customHeight="1" x14ac:dyDescent="0.3">
      <c r="B85" s="4">
        <f t="shared" si="5"/>
        <v>76</v>
      </c>
      <c r="C85" s="5" t="s">
        <v>75</v>
      </c>
      <c r="D85" s="6" t="s">
        <v>194</v>
      </c>
      <c r="E85" s="4">
        <v>923</v>
      </c>
      <c r="F85" s="4"/>
      <c r="G85" s="7">
        <v>1.1100000000000001</v>
      </c>
      <c r="H85" s="7">
        <f t="shared" si="3"/>
        <v>1024.5300000000002</v>
      </c>
      <c r="I85" s="10">
        <v>1.1100000000000001</v>
      </c>
      <c r="J85" s="7">
        <f t="shared" si="4"/>
        <v>1024.5300000000002</v>
      </c>
      <c r="K85" s="10"/>
      <c r="L85" s="10"/>
      <c r="N85" s="10"/>
    </row>
    <row r="86" spans="2:14" ht="13.2" customHeight="1" x14ac:dyDescent="0.3">
      <c r="B86" s="4">
        <f t="shared" si="5"/>
        <v>77</v>
      </c>
      <c r="C86" s="5" t="s">
        <v>76</v>
      </c>
      <c r="D86" s="6" t="s">
        <v>194</v>
      </c>
      <c r="E86" s="4">
        <v>1670</v>
      </c>
      <c r="F86" s="4"/>
      <c r="G86" s="7">
        <v>2.65</v>
      </c>
      <c r="H86" s="7">
        <f t="shared" si="3"/>
        <v>4425.5</v>
      </c>
      <c r="I86" s="10">
        <v>2.65</v>
      </c>
      <c r="J86" s="7">
        <f t="shared" si="4"/>
        <v>4425.5</v>
      </c>
      <c r="K86" s="10"/>
      <c r="L86" s="10"/>
      <c r="N86" s="10"/>
    </row>
    <row r="87" spans="2:14" ht="13.2" customHeight="1" x14ac:dyDescent="0.3">
      <c r="B87" s="4">
        <f t="shared" si="5"/>
        <v>78</v>
      </c>
      <c r="C87" s="5" t="s">
        <v>77</v>
      </c>
      <c r="D87" s="6" t="s">
        <v>194</v>
      </c>
      <c r="E87" s="4">
        <v>1832</v>
      </c>
      <c r="F87" s="4"/>
      <c r="G87" s="7">
        <v>1.55</v>
      </c>
      <c r="H87" s="7">
        <f t="shared" si="3"/>
        <v>2839.6</v>
      </c>
      <c r="I87" s="10">
        <v>1.55</v>
      </c>
      <c r="J87" s="7">
        <f t="shared" si="4"/>
        <v>2839.6</v>
      </c>
      <c r="K87" s="10"/>
      <c r="L87" s="10"/>
      <c r="N87" s="10"/>
    </row>
    <row r="88" spans="2:14" ht="13.2" customHeight="1" x14ac:dyDescent="0.3">
      <c r="B88" s="4">
        <f t="shared" si="5"/>
        <v>79</v>
      </c>
      <c r="C88" s="5" t="s">
        <v>78</v>
      </c>
      <c r="D88" s="6" t="s">
        <v>194</v>
      </c>
      <c r="E88" s="4">
        <v>250</v>
      </c>
      <c r="F88" s="4"/>
      <c r="G88" s="7">
        <v>10.875867634717405</v>
      </c>
      <c r="H88" s="7">
        <f t="shared" si="3"/>
        <v>2718.9669086793515</v>
      </c>
      <c r="I88" s="10">
        <v>10.875867634717405</v>
      </c>
      <c r="J88" s="7">
        <f t="shared" si="4"/>
        <v>2718.9669086793515</v>
      </c>
      <c r="K88" s="10"/>
      <c r="L88" s="10"/>
      <c r="N88" s="10"/>
    </row>
    <row r="89" spans="2:14" ht="13.2" customHeight="1" x14ac:dyDescent="0.3">
      <c r="B89" s="4">
        <f t="shared" si="5"/>
        <v>80</v>
      </c>
      <c r="C89" s="5" t="s">
        <v>79</v>
      </c>
      <c r="D89" s="6" t="s">
        <v>194</v>
      </c>
      <c r="E89" s="4">
        <v>300</v>
      </c>
      <c r="F89" s="4"/>
      <c r="G89" s="7">
        <v>39.479999999999997</v>
      </c>
      <c r="H89" s="7">
        <f t="shared" si="3"/>
        <v>11843.999999999998</v>
      </c>
      <c r="I89" s="10">
        <v>39.479999999999997</v>
      </c>
      <c r="J89" s="7">
        <f t="shared" si="4"/>
        <v>11843.999999999998</v>
      </c>
      <c r="K89" s="10"/>
      <c r="L89" s="10"/>
      <c r="N89" s="10"/>
    </row>
    <row r="90" spans="2:14" ht="13.2" customHeight="1" x14ac:dyDescent="0.3">
      <c r="B90" s="4">
        <f t="shared" si="5"/>
        <v>81</v>
      </c>
      <c r="C90" s="5" t="s">
        <v>80</v>
      </c>
      <c r="D90" s="6" t="s">
        <v>194</v>
      </c>
      <c r="E90" s="4">
        <v>159</v>
      </c>
      <c r="F90" s="4"/>
      <c r="G90" s="7">
        <v>48.71</v>
      </c>
      <c r="H90" s="7">
        <f t="shared" si="3"/>
        <v>7744.89</v>
      </c>
      <c r="I90" s="10">
        <v>48.71</v>
      </c>
      <c r="J90" s="7">
        <f t="shared" si="4"/>
        <v>7744.89</v>
      </c>
      <c r="K90" s="10"/>
      <c r="L90" s="10"/>
      <c r="N90" s="10"/>
    </row>
    <row r="91" spans="2:14" ht="13.2" customHeight="1" x14ac:dyDescent="0.3">
      <c r="B91" s="4">
        <f t="shared" si="5"/>
        <v>82</v>
      </c>
      <c r="C91" s="5" t="s">
        <v>81</v>
      </c>
      <c r="D91" s="6" t="s">
        <v>194</v>
      </c>
      <c r="E91" s="4">
        <v>818</v>
      </c>
      <c r="F91" s="4"/>
      <c r="G91" s="7">
        <v>3.03</v>
      </c>
      <c r="H91" s="7">
        <f t="shared" si="3"/>
        <v>2478.54</v>
      </c>
      <c r="I91" s="10">
        <v>3.03</v>
      </c>
      <c r="J91" s="7">
        <f t="shared" si="4"/>
        <v>2478.54</v>
      </c>
      <c r="K91" s="10"/>
      <c r="L91" s="10"/>
      <c r="N91" s="10"/>
    </row>
    <row r="92" spans="2:14" ht="13.2" customHeight="1" x14ac:dyDescent="0.3">
      <c r="B92" s="4">
        <f t="shared" si="5"/>
        <v>83</v>
      </c>
      <c r="C92" s="5" t="s">
        <v>82</v>
      </c>
      <c r="D92" s="6" t="s">
        <v>194</v>
      </c>
      <c r="E92" s="4">
        <v>774</v>
      </c>
      <c r="F92" s="4"/>
      <c r="G92" s="7">
        <v>2.29</v>
      </c>
      <c r="H92" s="7">
        <f t="shared" si="3"/>
        <v>1772.46</v>
      </c>
      <c r="I92" s="10">
        <v>2.29</v>
      </c>
      <c r="J92" s="7">
        <f t="shared" si="4"/>
        <v>1772.46</v>
      </c>
      <c r="K92" s="10"/>
      <c r="L92" s="10"/>
      <c r="N92" s="10"/>
    </row>
    <row r="93" spans="2:14" ht="13.2" customHeight="1" x14ac:dyDescent="0.3">
      <c r="B93" s="4">
        <f t="shared" si="5"/>
        <v>84</v>
      </c>
      <c r="C93" s="5" t="s">
        <v>83</v>
      </c>
      <c r="D93" s="6" t="s">
        <v>194</v>
      </c>
      <c r="E93" s="4">
        <v>590</v>
      </c>
      <c r="F93" s="4"/>
      <c r="G93" s="7">
        <v>3.59</v>
      </c>
      <c r="H93" s="7">
        <f t="shared" si="3"/>
        <v>2118.1</v>
      </c>
      <c r="I93" s="10">
        <v>3.59</v>
      </c>
      <c r="J93" s="7">
        <f t="shared" si="4"/>
        <v>2118.1</v>
      </c>
      <c r="K93" s="10"/>
      <c r="L93" s="10"/>
      <c r="N93" s="10"/>
    </row>
    <row r="94" spans="2:14" ht="13.2" customHeight="1" x14ac:dyDescent="0.3">
      <c r="B94" s="4">
        <f t="shared" si="5"/>
        <v>85</v>
      </c>
      <c r="C94" s="5" t="s">
        <v>84</v>
      </c>
      <c r="D94" s="6" t="s">
        <v>194</v>
      </c>
      <c r="E94" s="4">
        <v>87</v>
      </c>
      <c r="F94" s="4"/>
      <c r="G94" s="7">
        <v>0.47</v>
      </c>
      <c r="H94" s="7">
        <f t="shared" si="3"/>
        <v>40.89</v>
      </c>
      <c r="I94" s="10">
        <v>0.47</v>
      </c>
      <c r="J94" s="7">
        <f t="shared" si="4"/>
        <v>40.89</v>
      </c>
      <c r="K94" s="10"/>
      <c r="L94" s="10"/>
      <c r="N94" s="10"/>
    </row>
    <row r="95" spans="2:14" ht="13.2" customHeight="1" x14ac:dyDescent="0.3">
      <c r="B95" s="4">
        <f t="shared" si="5"/>
        <v>86</v>
      </c>
      <c r="C95" s="5" t="s">
        <v>85</v>
      </c>
      <c r="D95" s="6" t="s">
        <v>194</v>
      </c>
      <c r="E95" s="4">
        <v>1800</v>
      </c>
      <c r="F95" s="4"/>
      <c r="G95" s="7">
        <v>2.27</v>
      </c>
      <c r="H95" s="7">
        <f t="shared" si="3"/>
        <v>4086</v>
      </c>
      <c r="I95" s="10">
        <v>2.27</v>
      </c>
      <c r="J95" s="7">
        <f t="shared" si="4"/>
        <v>4086</v>
      </c>
      <c r="K95" s="10"/>
      <c r="L95" s="10"/>
      <c r="N95" s="10"/>
    </row>
    <row r="96" spans="2:14" ht="13.2" customHeight="1" x14ac:dyDescent="0.3">
      <c r="B96" s="4">
        <f t="shared" si="5"/>
        <v>87</v>
      </c>
      <c r="C96" s="5" t="s">
        <v>86</v>
      </c>
      <c r="D96" s="6" t="s">
        <v>194</v>
      </c>
      <c r="E96" s="4">
        <v>175</v>
      </c>
      <c r="F96" s="4"/>
      <c r="G96" s="7">
        <v>16.7</v>
      </c>
      <c r="H96" s="7">
        <f t="shared" si="3"/>
        <v>2922.5</v>
      </c>
      <c r="I96" s="10">
        <v>16.7</v>
      </c>
      <c r="J96" s="7">
        <f t="shared" si="4"/>
        <v>2922.5</v>
      </c>
      <c r="K96" s="10"/>
      <c r="L96" s="10"/>
      <c r="N96" s="10"/>
    </row>
    <row r="97" spans="2:14" ht="13.2" customHeight="1" x14ac:dyDescent="0.3">
      <c r="B97" s="4">
        <f t="shared" si="5"/>
        <v>88</v>
      </c>
      <c r="C97" s="5" t="s">
        <v>87</v>
      </c>
      <c r="D97" s="6" t="s">
        <v>194</v>
      </c>
      <c r="E97" s="4">
        <v>3066</v>
      </c>
      <c r="F97" s="4"/>
      <c r="G97" s="7">
        <v>0.6</v>
      </c>
      <c r="H97" s="7">
        <f t="shared" si="3"/>
        <v>1839.6</v>
      </c>
      <c r="I97" s="10">
        <v>0.6</v>
      </c>
      <c r="J97" s="7">
        <f t="shared" si="4"/>
        <v>1839.6</v>
      </c>
      <c r="K97" s="10"/>
      <c r="L97" s="10"/>
      <c r="N97" s="10"/>
    </row>
    <row r="98" spans="2:14" ht="13.2" customHeight="1" x14ac:dyDescent="0.3">
      <c r="B98" s="4">
        <f t="shared" si="5"/>
        <v>89</v>
      </c>
      <c r="C98" s="5" t="s">
        <v>88</v>
      </c>
      <c r="D98" s="6" t="s">
        <v>194</v>
      </c>
      <c r="E98" s="4">
        <v>1332</v>
      </c>
      <c r="F98" s="4"/>
      <c r="G98" s="7">
        <v>2.1800000000000002</v>
      </c>
      <c r="H98" s="7">
        <f t="shared" si="3"/>
        <v>2903.76</v>
      </c>
      <c r="I98" s="10">
        <v>2.1800000000000002</v>
      </c>
      <c r="J98" s="7">
        <f t="shared" si="4"/>
        <v>2903.76</v>
      </c>
      <c r="K98" s="10"/>
      <c r="L98" s="10"/>
      <c r="N98" s="10"/>
    </row>
    <row r="99" spans="2:14" ht="13.2" customHeight="1" x14ac:dyDescent="0.3">
      <c r="B99" s="4">
        <f t="shared" si="5"/>
        <v>90</v>
      </c>
      <c r="C99" s="5" t="s">
        <v>89</v>
      </c>
      <c r="D99" s="6" t="s">
        <v>194</v>
      </c>
      <c r="E99" s="4">
        <v>2436</v>
      </c>
      <c r="F99" s="4"/>
      <c r="G99" s="7">
        <v>1.21</v>
      </c>
      <c r="H99" s="7">
        <f t="shared" si="3"/>
        <v>2947.56</v>
      </c>
      <c r="I99" s="10">
        <v>1.21</v>
      </c>
      <c r="J99" s="7">
        <f t="shared" si="4"/>
        <v>2947.56</v>
      </c>
      <c r="K99" s="10"/>
      <c r="L99" s="10"/>
      <c r="N99" s="10"/>
    </row>
    <row r="100" spans="2:14" ht="13.2" customHeight="1" x14ac:dyDescent="0.3">
      <c r="B100" s="4">
        <f t="shared" si="5"/>
        <v>91</v>
      </c>
      <c r="C100" s="5" t="s">
        <v>90</v>
      </c>
      <c r="D100" s="6" t="s">
        <v>194</v>
      </c>
      <c r="E100" s="4">
        <v>447</v>
      </c>
      <c r="F100" s="4"/>
      <c r="G100" s="7">
        <v>2.57</v>
      </c>
      <c r="H100" s="7">
        <f t="shared" si="3"/>
        <v>1148.79</v>
      </c>
      <c r="I100" s="10">
        <v>2.57</v>
      </c>
      <c r="J100" s="7">
        <f t="shared" si="4"/>
        <v>1148.79</v>
      </c>
      <c r="K100" s="10"/>
      <c r="L100" s="10"/>
      <c r="N100" s="10"/>
    </row>
    <row r="101" spans="2:14" ht="13.2" customHeight="1" x14ac:dyDescent="0.3">
      <c r="B101" s="4">
        <f t="shared" si="5"/>
        <v>92</v>
      </c>
      <c r="C101" s="5" t="s">
        <v>91</v>
      </c>
      <c r="D101" s="6" t="s">
        <v>194</v>
      </c>
      <c r="E101" s="4">
        <v>75</v>
      </c>
      <c r="F101" s="4"/>
      <c r="G101" s="7">
        <v>6.68</v>
      </c>
      <c r="H101" s="7">
        <f t="shared" si="3"/>
        <v>501</v>
      </c>
      <c r="I101" s="10">
        <v>6.68</v>
      </c>
      <c r="J101" s="7">
        <f t="shared" si="4"/>
        <v>501</v>
      </c>
      <c r="K101" s="10"/>
      <c r="L101" s="10"/>
      <c r="N101" s="10"/>
    </row>
    <row r="102" spans="2:14" ht="13.2" customHeight="1" x14ac:dyDescent="0.3">
      <c r="B102" s="4">
        <f t="shared" si="5"/>
        <v>93</v>
      </c>
      <c r="C102" s="5" t="s">
        <v>92</v>
      </c>
      <c r="D102" s="6" t="s">
        <v>194</v>
      </c>
      <c r="E102" s="4">
        <v>104</v>
      </c>
      <c r="F102" s="4"/>
      <c r="G102" s="7">
        <v>33.261503218642403</v>
      </c>
      <c r="H102" s="7">
        <f t="shared" si="3"/>
        <v>3459.19633473881</v>
      </c>
      <c r="I102" s="10">
        <v>33.261503218642403</v>
      </c>
      <c r="J102" s="7">
        <f t="shared" si="4"/>
        <v>3459.19633473881</v>
      </c>
      <c r="K102" s="10"/>
      <c r="L102" s="10"/>
      <c r="N102" s="10"/>
    </row>
    <row r="103" spans="2:14" ht="13.2" customHeight="1" x14ac:dyDescent="0.3">
      <c r="B103" s="4">
        <f t="shared" si="5"/>
        <v>94</v>
      </c>
      <c r="C103" s="5" t="s">
        <v>93</v>
      </c>
      <c r="D103" s="6" t="s">
        <v>194</v>
      </c>
      <c r="E103" s="4">
        <v>743</v>
      </c>
      <c r="F103" s="4"/>
      <c r="G103" s="7">
        <v>5.32</v>
      </c>
      <c r="H103" s="7">
        <f t="shared" si="3"/>
        <v>3952.76</v>
      </c>
      <c r="I103" s="10">
        <v>5.32</v>
      </c>
      <c r="J103" s="7">
        <f t="shared" si="4"/>
        <v>3952.76</v>
      </c>
      <c r="K103" s="10"/>
      <c r="L103" s="10"/>
      <c r="N103" s="10"/>
    </row>
    <row r="104" spans="2:14" ht="13.2" customHeight="1" x14ac:dyDescent="0.3">
      <c r="B104" s="4">
        <f t="shared" si="5"/>
        <v>95</v>
      </c>
      <c r="C104" s="5" t="s">
        <v>94</v>
      </c>
      <c r="D104" s="6" t="s">
        <v>194</v>
      </c>
      <c r="E104" s="4">
        <v>958</v>
      </c>
      <c r="F104" s="4"/>
      <c r="G104" s="7">
        <v>10.74</v>
      </c>
      <c r="H104" s="7">
        <f t="shared" si="3"/>
        <v>10288.92</v>
      </c>
      <c r="I104" s="10">
        <v>10.74</v>
      </c>
      <c r="J104" s="7">
        <f t="shared" si="4"/>
        <v>10288.92</v>
      </c>
      <c r="K104" s="10"/>
      <c r="L104" s="10"/>
      <c r="N104" s="10"/>
    </row>
    <row r="105" spans="2:14" ht="13.2" customHeight="1" x14ac:dyDescent="0.3">
      <c r="B105" s="4">
        <f t="shared" si="5"/>
        <v>96</v>
      </c>
      <c r="C105" s="5" t="s">
        <v>95</v>
      </c>
      <c r="D105" s="6" t="s">
        <v>194</v>
      </c>
      <c r="E105" s="4">
        <v>214</v>
      </c>
      <c r="F105" s="4"/>
      <c r="G105" s="7">
        <v>24.93</v>
      </c>
      <c r="H105" s="7">
        <f t="shared" si="3"/>
        <v>5335.0199999999995</v>
      </c>
      <c r="I105" s="10">
        <v>24.93</v>
      </c>
      <c r="J105" s="7">
        <f t="shared" si="4"/>
        <v>5335.0199999999995</v>
      </c>
      <c r="K105" s="10"/>
      <c r="L105" s="10"/>
      <c r="N105" s="10"/>
    </row>
    <row r="106" spans="2:14" ht="13.2" customHeight="1" x14ac:dyDescent="0.3">
      <c r="B106" s="4">
        <f t="shared" si="5"/>
        <v>97</v>
      </c>
      <c r="C106" s="5" t="s">
        <v>96</v>
      </c>
      <c r="D106" s="6" t="s">
        <v>194</v>
      </c>
      <c r="E106" s="4">
        <v>60</v>
      </c>
      <c r="F106" s="4"/>
      <c r="G106" s="7">
        <v>48.56</v>
      </c>
      <c r="H106" s="7">
        <f t="shared" si="3"/>
        <v>2913.6000000000004</v>
      </c>
      <c r="I106" s="10">
        <v>48.56</v>
      </c>
      <c r="J106" s="7">
        <f t="shared" si="4"/>
        <v>2913.6000000000004</v>
      </c>
      <c r="K106" s="10"/>
      <c r="L106" s="10"/>
      <c r="N106" s="10"/>
    </row>
    <row r="107" spans="2:14" ht="13.2" customHeight="1" x14ac:dyDescent="0.3">
      <c r="B107" s="4">
        <f t="shared" si="5"/>
        <v>98</v>
      </c>
      <c r="C107" s="5" t="s">
        <v>97</v>
      </c>
      <c r="D107" s="6" t="s">
        <v>194</v>
      </c>
      <c r="E107" s="4">
        <v>730</v>
      </c>
      <c r="F107" s="4"/>
      <c r="G107" s="7">
        <v>8.44</v>
      </c>
      <c r="H107" s="7">
        <f t="shared" si="3"/>
        <v>6161.2</v>
      </c>
      <c r="I107" s="10">
        <v>8.44</v>
      </c>
      <c r="J107" s="7">
        <f t="shared" si="4"/>
        <v>6161.2</v>
      </c>
      <c r="K107" s="10"/>
      <c r="L107" s="10"/>
      <c r="N107" s="10"/>
    </row>
    <row r="108" spans="2:14" ht="13.2" customHeight="1" x14ac:dyDescent="0.3">
      <c r="B108" s="4">
        <f t="shared" si="5"/>
        <v>99</v>
      </c>
      <c r="C108" s="5" t="s">
        <v>98</v>
      </c>
      <c r="D108" s="6" t="s">
        <v>194</v>
      </c>
      <c r="E108" s="4">
        <v>10</v>
      </c>
      <c r="F108" s="4"/>
      <c r="G108" s="7">
        <v>44.16</v>
      </c>
      <c r="H108" s="7">
        <f t="shared" si="3"/>
        <v>441.59999999999997</v>
      </c>
      <c r="I108" s="10">
        <v>44.16</v>
      </c>
      <c r="J108" s="7">
        <f t="shared" si="4"/>
        <v>441.59999999999997</v>
      </c>
      <c r="K108" s="10"/>
      <c r="L108" s="10"/>
      <c r="N108" s="10"/>
    </row>
    <row r="109" spans="2:14" ht="13.2" customHeight="1" x14ac:dyDescent="0.3">
      <c r="B109" s="4">
        <f t="shared" si="5"/>
        <v>100</v>
      </c>
      <c r="C109" s="5" t="s">
        <v>99</v>
      </c>
      <c r="D109" s="6" t="s">
        <v>194</v>
      </c>
      <c r="E109" s="4">
        <v>1509</v>
      </c>
      <c r="F109" s="4"/>
      <c r="G109" s="7">
        <v>1.68</v>
      </c>
      <c r="H109" s="7">
        <f t="shared" si="3"/>
        <v>2535.12</v>
      </c>
      <c r="I109" s="10">
        <v>1.68</v>
      </c>
      <c r="J109" s="7">
        <f t="shared" si="4"/>
        <v>2535.12</v>
      </c>
      <c r="K109" s="10"/>
      <c r="L109" s="10"/>
      <c r="N109" s="10"/>
    </row>
    <row r="110" spans="2:14" ht="13.2" customHeight="1" x14ac:dyDescent="0.3">
      <c r="B110" s="4">
        <f t="shared" si="5"/>
        <v>101</v>
      </c>
      <c r="C110" s="5" t="s">
        <v>100</v>
      </c>
      <c r="D110" s="6" t="s">
        <v>194</v>
      </c>
      <c r="E110" s="4">
        <v>652</v>
      </c>
      <c r="F110" s="4"/>
      <c r="G110" s="7">
        <v>3.49</v>
      </c>
      <c r="H110" s="7">
        <f t="shared" si="3"/>
        <v>2275.48</v>
      </c>
      <c r="I110" s="10">
        <v>3.49</v>
      </c>
      <c r="J110" s="7">
        <f t="shared" si="4"/>
        <v>2275.48</v>
      </c>
      <c r="K110" s="10"/>
      <c r="L110" s="10"/>
      <c r="N110" s="10"/>
    </row>
    <row r="111" spans="2:14" ht="13.2" customHeight="1" x14ac:dyDescent="0.3">
      <c r="B111" s="4">
        <f t="shared" si="5"/>
        <v>102</v>
      </c>
      <c r="C111" s="5" t="s">
        <v>101</v>
      </c>
      <c r="D111" s="6" t="s">
        <v>194</v>
      </c>
      <c r="E111" s="4">
        <v>453</v>
      </c>
      <c r="F111" s="4"/>
      <c r="G111" s="7">
        <v>7.44</v>
      </c>
      <c r="H111" s="7">
        <f t="shared" si="3"/>
        <v>3370.32</v>
      </c>
      <c r="I111" s="10">
        <v>7.44</v>
      </c>
      <c r="J111" s="7">
        <f t="shared" si="4"/>
        <v>3370.32</v>
      </c>
      <c r="K111" s="10"/>
      <c r="L111" s="10"/>
      <c r="N111" s="10"/>
    </row>
    <row r="112" spans="2:14" ht="13.2" customHeight="1" x14ac:dyDescent="0.3">
      <c r="B112" s="4">
        <f t="shared" si="5"/>
        <v>103</v>
      </c>
      <c r="C112" s="5" t="s">
        <v>102</v>
      </c>
      <c r="D112" s="6" t="s">
        <v>194</v>
      </c>
      <c r="E112" s="4">
        <v>261</v>
      </c>
      <c r="F112" s="4"/>
      <c r="G112" s="7">
        <v>25.034360580602197</v>
      </c>
      <c r="H112" s="7">
        <f t="shared" si="3"/>
        <v>6533.9681115371732</v>
      </c>
      <c r="I112" s="10">
        <v>25.034360580602197</v>
      </c>
      <c r="J112" s="7">
        <f t="shared" si="4"/>
        <v>6533.9681115371732</v>
      </c>
      <c r="K112" s="10"/>
      <c r="L112" s="10"/>
      <c r="N112" s="10"/>
    </row>
    <row r="113" spans="2:14" ht="13.2" customHeight="1" x14ac:dyDescent="0.3">
      <c r="B113" s="4">
        <f t="shared" si="5"/>
        <v>104</v>
      </c>
      <c r="C113" s="5" t="s">
        <v>103</v>
      </c>
      <c r="D113" s="6" t="s">
        <v>194</v>
      </c>
      <c r="E113" s="4">
        <v>384</v>
      </c>
      <c r="F113" s="4"/>
      <c r="G113" s="7">
        <v>8.3699999999999992</v>
      </c>
      <c r="H113" s="7">
        <f t="shared" ref="H113:H166" si="6">E113*G113</f>
        <v>3214.08</v>
      </c>
      <c r="I113" s="10">
        <v>8.3699999999999992</v>
      </c>
      <c r="J113" s="7">
        <f t="shared" ref="J113:J166" si="7">E113*I113</f>
        <v>3214.08</v>
      </c>
      <c r="K113" s="10"/>
      <c r="L113" s="10"/>
      <c r="N113" s="10"/>
    </row>
    <row r="114" spans="2:14" ht="13.2" customHeight="1" x14ac:dyDescent="0.3">
      <c r="B114" s="4">
        <f t="shared" si="5"/>
        <v>105</v>
      </c>
      <c r="C114" s="5" t="s">
        <v>104</v>
      </c>
      <c r="D114" s="6" t="s">
        <v>194</v>
      </c>
      <c r="E114" s="4">
        <v>453</v>
      </c>
      <c r="F114" s="4"/>
      <c r="G114" s="7">
        <v>4.34</v>
      </c>
      <c r="H114" s="7">
        <f t="shared" si="6"/>
        <v>1966.02</v>
      </c>
      <c r="I114" s="10">
        <v>4.34</v>
      </c>
      <c r="J114" s="7">
        <f t="shared" si="7"/>
        <v>1966.02</v>
      </c>
      <c r="K114" s="10"/>
      <c r="L114" s="10"/>
      <c r="N114" s="10"/>
    </row>
    <row r="115" spans="2:14" ht="13.2" customHeight="1" x14ac:dyDescent="0.3">
      <c r="B115" s="4">
        <f t="shared" si="5"/>
        <v>106</v>
      </c>
      <c r="C115" s="5" t="s">
        <v>105</v>
      </c>
      <c r="D115" s="6" t="s">
        <v>194</v>
      </c>
      <c r="E115" s="4">
        <v>133</v>
      </c>
      <c r="F115" s="4"/>
      <c r="G115" s="7">
        <v>4.47</v>
      </c>
      <c r="H115" s="7">
        <f t="shared" si="6"/>
        <v>594.51</v>
      </c>
      <c r="I115" s="10">
        <v>4.47</v>
      </c>
      <c r="J115" s="7">
        <f t="shared" si="7"/>
        <v>594.51</v>
      </c>
      <c r="K115" s="10"/>
      <c r="L115" s="10"/>
      <c r="N115" s="10"/>
    </row>
    <row r="116" spans="2:14" ht="13.2" customHeight="1" x14ac:dyDescent="0.3">
      <c r="B116" s="4">
        <f t="shared" si="5"/>
        <v>107</v>
      </c>
      <c r="C116" s="5" t="s">
        <v>106</v>
      </c>
      <c r="D116" s="6" t="s">
        <v>194</v>
      </c>
      <c r="E116" s="4">
        <v>7659</v>
      </c>
      <c r="F116" s="4"/>
      <c r="G116" s="7">
        <v>1.54</v>
      </c>
      <c r="H116" s="7">
        <f t="shared" si="6"/>
        <v>11794.86</v>
      </c>
      <c r="I116" s="10">
        <v>1.54</v>
      </c>
      <c r="J116" s="7">
        <f t="shared" si="7"/>
        <v>11794.86</v>
      </c>
      <c r="K116" s="10"/>
      <c r="L116" s="10"/>
      <c r="N116" s="10"/>
    </row>
    <row r="117" spans="2:14" ht="13.2" customHeight="1" x14ac:dyDescent="0.3">
      <c r="B117" s="4">
        <f t="shared" si="5"/>
        <v>108</v>
      </c>
      <c r="C117" s="5" t="s">
        <v>107</v>
      </c>
      <c r="D117" s="6" t="s">
        <v>194</v>
      </c>
      <c r="E117" s="4">
        <v>860</v>
      </c>
      <c r="F117" s="4"/>
      <c r="G117" s="7">
        <v>13.36</v>
      </c>
      <c r="H117" s="7">
        <f t="shared" si="6"/>
        <v>11489.6</v>
      </c>
      <c r="I117" s="10">
        <v>13.36</v>
      </c>
      <c r="J117" s="7">
        <f t="shared" si="7"/>
        <v>11489.6</v>
      </c>
      <c r="K117" s="10"/>
      <c r="L117" s="10"/>
      <c r="N117" s="10"/>
    </row>
    <row r="118" spans="2:14" ht="13.2" customHeight="1" x14ac:dyDescent="0.3">
      <c r="B118" s="4">
        <f t="shared" si="5"/>
        <v>109</v>
      </c>
      <c r="C118" s="5" t="s">
        <v>108</v>
      </c>
      <c r="D118" s="6" t="s">
        <v>194</v>
      </c>
      <c r="E118" s="4">
        <v>1675</v>
      </c>
      <c r="F118" s="4"/>
      <c r="G118" s="7">
        <v>0.55000000000000004</v>
      </c>
      <c r="H118" s="7">
        <f t="shared" si="6"/>
        <v>921.25000000000011</v>
      </c>
      <c r="I118" s="10">
        <v>0.55000000000000004</v>
      </c>
      <c r="J118" s="7">
        <f t="shared" si="7"/>
        <v>921.25000000000011</v>
      </c>
      <c r="K118" s="10"/>
      <c r="L118" s="10"/>
      <c r="N118" s="10"/>
    </row>
    <row r="119" spans="2:14" ht="13.2" customHeight="1" x14ac:dyDescent="0.3">
      <c r="B119" s="4">
        <f t="shared" si="5"/>
        <v>110</v>
      </c>
      <c r="C119" s="5" t="s">
        <v>109</v>
      </c>
      <c r="D119" s="6" t="s">
        <v>194</v>
      </c>
      <c r="E119" s="4">
        <v>3915</v>
      </c>
      <c r="F119" s="4"/>
      <c r="G119" s="7">
        <v>0.76</v>
      </c>
      <c r="H119" s="7">
        <f t="shared" si="6"/>
        <v>2975.4</v>
      </c>
      <c r="I119" s="10">
        <v>0.76</v>
      </c>
      <c r="J119" s="7">
        <f t="shared" si="7"/>
        <v>2975.4</v>
      </c>
      <c r="K119" s="10"/>
      <c r="L119" s="10"/>
      <c r="N119" s="10"/>
    </row>
    <row r="120" spans="2:14" ht="13.2" customHeight="1" x14ac:dyDescent="0.3">
      <c r="B120" s="4">
        <f t="shared" si="5"/>
        <v>111</v>
      </c>
      <c r="C120" s="5" t="s">
        <v>110</v>
      </c>
      <c r="D120" s="6" t="s">
        <v>194</v>
      </c>
      <c r="E120" s="4">
        <v>2857</v>
      </c>
      <c r="F120" s="4"/>
      <c r="G120" s="7">
        <v>2.48</v>
      </c>
      <c r="H120" s="7">
        <f t="shared" si="6"/>
        <v>7085.36</v>
      </c>
      <c r="I120" s="10">
        <v>2.48</v>
      </c>
      <c r="J120" s="7">
        <f t="shared" si="7"/>
        <v>7085.36</v>
      </c>
      <c r="K120" s="10"/>
      <c r="L120" s="10"/>
      <c r="N120" s="10"/>
    </row>
    <row r="121" spans="2:14" ht="13.2" customHeight="1" x14ac:dyDescent="0.3">
      <c r="B121" s="4">
        <f t="shared" si="5"/>
        <v>112</v>
      </c>
      <c r="C121" s="5" t="s">
        <v>111</v>
      </c>
      <c r="D121" s="6" t="s">
        <v>194</v>
      </c>
      <c r="E121" s="4">
        <v>1434</v>
      </c>
      <c r="F121" s="4"/>
      <c r="G121" s="7">
        <v>5.05</v>
      </c>
      <c r="H121" s="7">
        <f t="shared" si="6"/>
        <v>7241.7</v>
      </c>
      <c r="I121" s="10">
        <v>5.05</v>
      </c>
      <c r="J121" s="7">
        <f t="shared" si="7"/>
        <v>7241.7</v>
      </c>
      <c r="K121" s="10"/>
      <c r="L121" s="10"/>
      <c r="N121" s="10"/>
    </row>
    <row r="122" spans="2:14" ht="13.2" customHeight="1" x14ac:dyDescent="0.3">
      <c r="B122" s="4">
        <f t="shared" si="5"/>
        <v>113</v>
      </c>
      <c r="C122" s="5" t="s">
        <v>112</v>
      </c>
      <c r="D122" s="6" t="s">
        <v>194</v>
      </c>
      <c r="E122" s="4">
        <v>600</v>
      </c>
      <c r="F122" s="4"/>
      <c r="G122" s="7">
        <v>15.522867937594039</v>
      </c>
      <c r="H122" s="7">
        <f t="shared" si="6"/>
        <v>9313.7207625564242</v>
      </c>
      <c r="I122" s="10">
        <v>15.522867937594039</v>
      </c>
      <c r="J122" s="7">
        <f t="shared" si="7"/>
        <v>9313.7207625564242</v>
      </c>
      <c r="K122" s="10"/>
      <c r="L122" s="10"/>
      <c r="N122" s="10"/>
    </row>
    <row r="123" spans="2:14" ht="13.2" customHeight="1" x14ac:dyDescent="0.3">
      <c r="B123" s="4">
        <f t="shared" si="5"/>
        <v>114</v>
      </c>
      <c r="C123" s="5" t="s">
        <v>113</v>
      </c>
      <c r="D123" s="6" t="s">
        <v>194</v>
      </c>
      <c r="E123" s="4">
        <v>250</v>
      </c>
      <c r="F123" s="4"/>
      <c r="G123" s="7">
        <v>2.58</v>
      </c>
      <c r="H123" s="7">
        <f t="shared" si="6"/>
        <v>645</v>
      </c>
      <c r="I123" s="10">
        <v>2.58</v>
      </c>
      <c r="J123" s="7">
        <f t="shared" si="7"/>
        <v>645</v>
      </c>
      <c r="K123" s="10"/>
      <c r="L123" s="10"/>
      <c r="N123" s="10"/>
    </row>
    <row r="124" spans="2:14" ht="13.2" customHeight="1" x14ac:dyDescent="0.3">
      <c r="B124" s="4">
        <f t="shared" si="5"/>
        <v>115</v>
      </c>
      <c r="C124" s="5" t="s">
        <v>114</v>
      </c>
      <c r="D124" s="6" t="s">
        <v>194</v>
      </c>
      <c r="E124" s="4">
        <v>100</v>
      </c>
      <c r="F124" s="4"/>
      <c r="G124" s="7">
        <v>5.03</v>
      </c>
      <c r="H124" s="7">
        <f t="shared" si="6"/>
        <v>503</v>
      </c>
      <c r="I124" s="10">
        <v>5.03</v>
      </c>
      <c r="J124" s="7">
        <f t="shared" si="7"/>
        <v>503</v>
      </c>
      <c r="K124" s="10"/>
      <c r="L124" s="10"/>
      <c r="N124" s="10"/>
    </row>
    <row r="125" spans="2:14" ht="13.2" customHeight="1" x14ac:dyDescent="0.3">
      <c r="B125" s="4">
        <f t="shared" si="5"/>
        <v>116</v>
      </c>
      <c r="C125" s="5" t="s">
        <v>115</v>
      </c>
      <c r="D125" s="6" t="s">
        <v>194</v>
      </c>
      <c r="E125" s="4">
        <v>350</v>
      </c>
      <c r="F125" s="4"/>
      <c r="G125" s="7">
        <v>0.32104981463758014</v>
      </c>
      <c r="H125" s="7">
        <f t="shared" si="6"/>
        <v>112.36743512315304</v>
      </c>
      <c r="I125" s="10">
        <v>0.32104981463758014</v>
      </c>
      <c r="J125" s="7">
        <f t="shared" si="7"/>
        <v>112.36743512315304</v>
      </c>
      <c r="K125" s="10"/>
      <c r="L125" s="10"/>
      <c r="N125" s="10"/>
    </row>
    <row r="126" spans="2:14" ht="13.2" customHeight="1" x14ac:dyDescent="0.3">
      <c r="B126" s="4">
        <f t="shared" si="5"/>
        <v>117</v>
      </c>
      <c r="C126" s="5" t="s">
        <v>116</v>
      </c>
      <c r="D126" s="6" t="s">
        <v>194</v>
      </c>
      <c r="E126" s="4">
        <v>3290</v>
      </c>
      <c r="F126" s="4"/>
      <c r="G126" s="7">
        <v>0.34</v>
      </c>
      <c r="H126" s="7">
        <f t="shared" si="6"/>
        <v>1118.6000000000001</v>
      </c>
      <c r="I126" s="10">
        <v>0.34</v>
      </c>
      <c r="J126" s="7">
        <f t="shared" si="7"/>
        <v>1118.6000000000001</v>
      </c>
      <c r="K126" s="10"/>
      <c r="L126" s="10"/>
      <c r="N126" s="10"/>
    </row>
    <row r="127" spans="2:14" ht="13.2" customHeight="1" x14ac:dyDescent="0.3">
      <c r="B127" s="4">
        <f t="shared" si="5"/>
        <v>118</v>
      </c>
      <c r="C127" s="5" t="s">
        <v>117</v>
      </c>
      <c r="D127" s="6" t="s">
        <v>194</v>
      </c>
      <c r="E127" s="4">
        <v>930</v>
      </c>
      <c r="F127" s="4"/>
      <c r="G127" s="7">
        <v>1.0875667407476011</v>
      </c>
      <c r="H127" s="7">
        <f t="shared" si="6"/>
        <v>1011.437068895269</v>
      </c>
      <c r="I127" s="10">
        <v>1.0875667407476011</v>
      </c>
      <c r="J127" s="7">
        <f t="shared" si="7"/>
        <v>1011.437068895269</v>
      </c>
      <c r="K127" s="10"/>
      <c r="L127" s="10"/>
      <c r="N127" s="10"/>
    </row>
    <row r="128" spans="2:14" ht="13.2" customHeight="1" x14ac:dyDescent="0.3">
      <c r="B128" s="4">
        <f t="shared" si="5"/>
        <v>119</v>
      </c>
      <c r="C128" s="5" t="s">
        <v>118</v>
      </c>
      <c r="D128" s="6" t="s">
        <v>194</v>
      </c>
      <c r="E128" s="4">
        <v>559</v>
      </c>
      <c r="F128" s="4"/>
      <c r="G128" s="7">
        <v>2.1755244808552048</v>
      </c>
      <c r="H128" s="7">
        <f t="shared" si="6"/>
        <v>1216.1181847980595</v>
      </c>
      <c r="I128" s="10">
        <v>2.1755244808552048</v>
      </c>
      <c r="J128" s="7">
        <f t="shared" si="7"/>
        <v>1216.1181847980595</v>
      </c>
      <c r="K128" s="10"/>
      <c r="L128" s="10"/>
      <c r="N128" s="10"/>
    </row>
    <row r="129" spans="2:14" ht="13.2" customHeight="1" x14ac:dyDescent="0.3">
      <c r="B129" s="4">
        <f t="shared" si="5"/>
        <v>120</v>
      </c>
      <c r="C129" s="5" t="s">
        <v>119</v>
      </c>
      <c r="D129" s="6" t="s">
        <v>194</v>
      </c>
      <c r="E129" s="4">
        <v>620</v>
      </c>
      <c r="F129" s="4"/>
      <c r="G129" s="7">
        <v>2.1309999999999998</v>
      </c>
      <c r="H129" s="7">
        <f t="shared" si="6"/>
        <v>1321.2199999999998</v>
      </c>
      <c r="I129" s="10">
        <v>2.1309999999999998</v>
      </c>
      <c r="J129" s="7">
        <f t="shared" si="7"/>
        <v>1321.2199999999998</v>
      </c>
      <c r="K129" s="10"/>
      <c r="L129" s="10"/>
      <c r="N129" s="10"/>
    </row>
    <row r="130" spans="2:14" ht="13.2" customHeight="1" x14ac:dyDescent="0.3">
      <c r="B130" s="4">
        <f t="shared" si="5"/>
        <v>121</v>
      </c>
      <c r="C130" s="5" t="s">
        <v>120</v>
      </c>
      <c r="D130" s="6" t="s">
        <v>194</v>
      </c>
      <c r="E130" s="4">
        <v>215</v>
      </c>
      <c r="F130" s="4"/>
      <c r="G130" s="7">
        <v>6.2678646682535915</v>
      </c>
      <c r="H130" s="7">
        <f t="shared" si="6"/>
        <v>1347.5909036745222</v>
      </c>
      <c r="I130" s="10">
        <v>6.2678646682535915</v>
      </c>
      <c r="J130" s="7">
        <f t="shared" si="7"/>
        <v>1347.5909036745222</v>
      </c>
      <c r="K130" s="10"/>
      <c r="L130" s="10"/>
      <c r="N130" s="10"/>
    </row>
    <row r="131" spans="2:14" ht="13.2" customHeight="1" x14ac:dyDescent="0.3">
      <c r="B131" s="4">
        <f t="shared" si="5"/>
        <v>122</v>
      </c>
      <c r="C131" s="5" t="s">
        <v>121</v>
      </c>
      <c r="D131" s="6" t="s">
        <v>194</v>
      </c>
      <c r="E131" s="4">
        <v>36</v>
      </c>
      <c r="F131" s="4"/>
      <c r="G131" s="7">
        <v>10.42</v>
      </c>
      <c r="H131" s="7">
        <f t="shared" si="6"/>
        <v>375.12</v>
      </c>
      <c r="I131" s="10">
        <v>10.42</v>
      </c>
      <c r="J131" s="7">
        <f t="shared" si="7"/>
        <v>375.12</v>
      </c>
      <c r="K131" s="10"/>
      <c r="L131" s="10"/>
      <c r="N131" s="10"/>
    </row>
    <row r="132" spans="2:14" ht="13.2" customHeight="1" x14ac:dyDescent="0.3">
      <c r="B132" s="4">
        <f t="shared" si="5"/>
        <v>123</v>
      </c>
      <c r="C132" s="5" t="s">
        <v>122</v>
      </c>
      <c r="D132" s="6" t="s">
        <v>194</v>
      </c>
      <c r="E132" s="4">
        <v>1130</v>
      </c>
      <c r="F132" s="4"/>
      <c r="G132" s="7">
        <v>2.76</v>
      </c>
      <c r="H132" s="7">
        <f t="shared" si="6"/>
        <v>3118.7999999999997</v>
      </c>
      <c r="I132" s="10">
        <v>2.76</v>
      </c>
      <c r="J132" s="7">
        <f t="shared" si="7"/>
        <v>3118.7999999999997</v>
      </c>
      <c r="K132" s="10"/>
      <c r="L132" s="10"/>
      <c r="N132" s="10"/>
    </row>
    <row r="133" spans="2:14" ht="13.2" customHeight="1" x14ac:dyDescent="0.3">
      <c r="B133" s="4">
        <f t="shared" si="5"/>
        <v>124</v>
      </c>
      <c r="C133" s="5" t="s">
        <v>123</v>
      </c>
      <c r="D133" s="6" t="s">
        <v>194</v>
      </c>
      <c r="E133" s="4">
        <v>154</v>
      </c>
      <c r="F133" s="4"/>
      <c r="G133" s="7">
        <v>2.67</v>
      </c>
      <c r="H133" s="7">
        <f t="shared" si="6"/>
        <v>411.18</v>
      </c>
      <c r="I133" s="10">
        <v>2.67</v>
      </c>
      <c r="J133" s="7">
        <f t="shared" si="7"/>
        <v>411.18</v>
      </c>
      <c r="K133" s="10"/>
      <c r="L133" s="10"/>
      <c r="N133" s="10"/>
    </row>
    <row r="134" spans="2:14" ht="13.2" customHeight="1" x14ac:dyDescent="0.3">
      <c r="B134" s="4">
        <f t="shared" si="5"/>
        <v>125</v>
      </c>
      <c r="C134" s="5" t="s">
        <v>124</v>
      </c>
      <c r="D134" s="6" t="s">
        <v>194</v>
      </c>
      <c r="E134" s="4">
        <v>503</v>
      </c>
      <c r="F134" s="4"/>
      <c r="G134" s="7">
        <v>3</v>
      </c>
      <c r="H134" s="7">
        <f t="shared" si="6"/>
        <v>1509</v>
      </c>
      <c r="I134" s="10">
        <v>3</v>
      </c>
      <c r="J134" s="7">
        <f t="shared" si="7"/>
        <v>1509</v>
      </c>
      <c r="K134" s="10"/>
      <c r="L134" s="10"/>
      <c r="N134" s="10"/>
    </row>
    <row r="135" spans="2:14" ht="13.2" customHeight="1" x14ac:dyDescent="0.3">
      <c r="B135" s="4">
        <f t="shared" si="5"/>
        <v>126</v>
      </c>
      <c r="C135" s="5" t="s">
        <v>125</v>
      </c>
      <c r="D135" s="6" t="s">
        <v>194</v>
      </c>
      <c r="E135" s="4">
        <v>200</v>
      </c>
      <c r="F135" s="4"/>
      <c r="G135" s="7">
        <v>0.92</v>
      </c>
      <c r="H135" s="7">
        <f t="shared" si="6"/>
        <v>184</v>
      </c>
      <c r="I135" s="10">
        <v>0.92</v>
      </c>
      <c r="J135" s="7">
        <f t="shared" si="7"/>
        <v>184</v>
      </c>
      <c r="K135" s="10"/>
      <c r="L135" s="10"/>
      <c r="N135" s="10"/>
    </row>
    <row r="136" spans="2:14" ht="13.2" customHeight="1" x14ac:dyDescent="0.3">
      <c r="B136" s="4">
        <f t="shared" si="5"/>
        <v>127</v>
      </c>
      <c r="C136" s="5" t="s">
        <v>126</v>
      </c>
      <c r="D136" s="6" t="s">
        <v>194</v>
      </c>
      <c r="E136" s="4">
        <v>35</v>
      </c>
      <c r="F136" s="4"/>
      <c r="G136" s="7">
        <v>4.6703457500587184</v>
      </c>
      <c r="H136" s="7">
        <f t="shared" si="6"/>
        <v>163.46210125205513</v>
      </c>
      <c r="I136" s="10">
        <v>4.6703457500587184</v>
      </c>
      <c r="J136" s="7">
        <f t="shared" si="7"/>
        <v>163.46210125205513</v>
      </c>
      <c r="K136" s="10"/>
      <c r="L136" s="10"/>
      <c r="N136" s="10"/>
    </row>
    <row r="137" spans="2:14" ht="13.2" customHeight="1" x14ac:dyDescent="0.3">
      <c r="B137" s="4">
        <f t="shared" si="5"/>
        <v>128</v>
      </c>
      <c r="C137" s="5" t="s">
        <v>127</v>
      </c>
      <c r="D137" s="6" t="s">
        <v>194</v>
      </c>
      <c r="E137" s="4">
        <v>152</v>
      </c>
      <c r="F137" s="4"/>
      <c r="G137" s="7">
        <v>19.622246595904198</v>
      </c>
      <c r="H137" s="7">
        <f t="shared" si="6"/>
        <v>2982.5814825774382</v>
      </c>
      <c r="I137" s="10">
        <v>19.622246595904198</v>
      </c>
      <c r="J137" s="7">
        <f t="shared" si="7"/>
        <v>2982.5814825774382</v>
      </c>
      <c r="K137" s="10"/>
      <c r="L137" s="10"/>
      <c r="N137" s="10"/>
    </row>
    <row r="138" spans="2:14" ht="13.2" customHeight="1" x14ac:dyDescent="0.3">
      <c r="B138" s="4">
        <f t="shared" si="5"/>
        <v>129</v>
      </c>
      <c r="C138" s="5" t="s">
        <v>128</v>
      </c>
      <c r="D138" s="6" t="s">
        <v>194</v>
      </c>
      <c r="E138" s="4">
        <v>2657</v>
      </c>
      <c r="F138" s="4"/>
      <c r="G138" s="7">
        <v>0.24</v>
      </c>
      <c r="H138" s="7">
        <f t="shared" si="6"/>
        <v>637.67999999999995</v>
      </c>
      <c r="I138" s="10">
        <v>0.24</v>
      </c>
      <c r="J138" s="7">
        <f t="shared" si="7"/>
        <v>637.67999999999995</v>
      </c>
      <c r="K138" s="10"/>
      <c r="L138" s="10"/>
      <c r="N138" s="10"/>
    </row>
    <row r="139" spans="2:14" ht="13.2" customHeight="1" x14ac:dyDescent="0.3">
      <c r="B139" s="4">
        <f t="shared" si="5"/>
        <v>130</v>
      </c>
      <c r="C139" s="5" t="s">
        <v>129</v>
      </c>
      <c r="D139" s="6" t="s">
        <v>194</v>
      </c>
      <c r="E139" s="4">
        <v>1027</v>
      </c>
      <c r="F139" s="4"/>
      <c r="G139" s="7">
        <v>0.36</v>
      </c>
      <c r="H139" s="7">
        <f t="shared" si="6"/>
        <v>369.71999999999997</v>
      </c>
      <c r="I139" s="10">
        <v>0.36</v>
      </c>
      <c r="J139" s="7">
        <f t="shared" si="7"/>
        <v>369.71999999999997</v>
      </c>
      <c r="K139" s="10"/>
      <c r="L139" s="10"/>
      <c r="N139" s="10"/>
    </row>
    <row r="140" spans="2:14" ht="13.2" customHeight="1" x14ac:dyDescent="0.3">
      <c r="B140" s="4">
        <f t="shared" ref="B140:B203" si="8">B139+1</f>
        <v>131</v>
      </c>
      <c r="C140" s="5" t="s">
        <v>130</v>
      </c>
      <c r="D140" s="6" t="s">
        <v>194</v>
      </c>
      <c r="E140" s="4">
        <v>36</v>
      </c>
      <c r="F140" s="4"/>
      <c r="G140" s="7">
        <v>6.156944444444445</v>
      </c>
      <c r="H140" s="7">
        <f t="shared" si="6"/>
        <v>221.65000000000003</v>
      </c>
      <c r="I140" s="10">
        <v>6.156944444444445</v>
      </c>
      <c r="J140" s="7">
        <f t="shared" si="7"/>
        <v>221.65000000000003</v>
      </c>
      <c r="K140" s="10"/>
      <c r="L140" s="10"/>
      <c r="N140" s="10"/>
    </row>
    <row r="141" spans="2:14" ht="13.2" customHeight="1" x14ac:dyDescent="0.3">
      <c r="B141" s="4">
        <f t="shared" si="8"/>
        <v>132</v>
      </c>
      <c r="C141" s="5" t="s">
        <v>131</v>
      </c>
      <c r="D141" s="6" t="s">
        <v>194</v>
      </c>
      <c r="E141" s="4">
        <v>24</v>
      </c>
      <c r="F141" s="4"/>
      <c r="G141" s="7">
        <v>8.4395833333333332</v>
      </c>
      <c r="H141" s="7">
        <f t="shared" si="6"/>
        <v>202.55</v>
      </c>
      <c r="I141" s="10">
        <v>8.4395833333333332</v>
      </c>
      <c r="J141" s="7">
        <f t="shared" si="7"/>
        <v>202.55</v>
      </c>
      <c r="K141" s="10"/>
      <c r="L141" s="10"/>
      <c r="N141" s="10"/>
    </row>
    <row r="142" spans="2:14" ht="13.2" customHeight="1" x14ac:dyDescent="0.3">
      <c r="B142" s="4">
        <f t="shared" si="8"/>
        <v>133</v>
      </c>
      <c r="C142" s="5" t="s">
        <v>132</v>
      </c>
      <c r="D142" s="6" t="s">
        <v>194</v>
      </c>
      <c r="E142" s="4">
        <v>133</v>
      </c>
      <c r="F142" s="4"/>
      <c r="G142" s="7">
        <v>3.7116141458793366</v>
      </c>
      <c r="H142" s="7">
        <f t="shared" si="6"/>
        <v>493.64468140195174</v>
      </c>
      <c r="I142" s="10">
        <v>3.7116141458793366</v>
      </c>
      <c r="J142" s="7">
        <f t="shared" si="7"/>
        <v>493.64468140195174</v>
      </c>
      <c r="K142" s="10"/>
      <c r="L142" s="10"/>
      <c r="N142" s="10"/>
    </row>
    <row r="143" spans="2:14" ht="13.2" customHeight="1" x14ac:dyDescent="0.3">
      <c r="B143" s="4">
        <f t="shared" si="8"/>
        <v>134</v>
      </c>
      <c r="C143" s="5" t="s">
        <v>133</v>
      </c>
      <c r="D143" s="6" t="s">
        <v>194</v>
      </c>
      <c r="E143" s="4">
        <v>190</v>
      </c>
      <c r="F143" s="4"/>
      <c r="G143" s="7">
        <v>4.32</v>
      </c>
      <c r="H143" s="7">
        <f t="shared" si="6"/>
        <v>820.80000000000007</v>
      </c>
      <c r="I143" s="10">
        <v>4.32</v>
      </c>
      <c r="J143" s="7">
        <f t="shared" si="7"/>
        <v>820.80000000000007</v>
      </c>
      <c r="K143" s="10"/>
      <c r="L143" s="10"/>
      <c r="N143" s="10"/>
    </row>
    <row r="144" spans="2:14" ht="13.2" customHeight="1" x14ac:dyDescent="0.3">
      <c r="B144" s="4">
        <f t="shared" si="8"/>
        <v>135</v>
      </c>
      <c r="C144" s="5" t="s">
        <v>134</v>
      </c>
      <c r="D144" s="6" t="s">
        <v>194</v>
      </c>
      <c r="E144" s="4">
        <v>111</v>
      </c>
      <c r="F144" s="4"/>
      <c r="G144" s="7">
        <v>8.73</v>
      </c>
      <c r="H144" s="7">
        <f t="shared" si="6"/>
        <v>969.03000000000009</v>
      </c>
      <c r="I144" s="10">
        <v>8.73</v>
      </c>
      <c r="J144" s="7">
        <f t="shared" si="7"/>
        <v>969.03000000000009</v>
      </c>
      <c r="K144" s="10"/>
      <c r="L144" s="10"/>
      <c r="N144" s="10"/>
    </row>
    <row r="145" spans="2:14" ht="13.2" customHeight="1" x14ac:dyDescent="0.3">
      <c r="B145" s="4">
        <f t="shared" si="8"/>
        <v>136</v>
      </c>
      <c r="C145" s="5" t="s">
        <v>135</v>
      </c>
      <c r="D145" s="6" t="s">
        <v>194</v>
      </c>
      <c r="E145" s="4">
        <v>40</v>
      </c>
      <c r="F145" s="4"/>
      <c r="G145" s="7">
        <v>3.18</v>
      </c>
      <c r="H145" s="7">
        <f t="shared" si="6"/>
        <v>127.2</v>
      </c>
      <c r="I145" s="10">
        <v>3.18</v>
      </c>
      <c r="J145" s="7">
        <f t="shared" si="7"/>
        <v>127.2</v>
      </c>
      <c r="K145" s="10"/>
      <c r="L145" s="10"/>
      <c r="N145" s="10"/>
    </row>
    <row r="146" spans="2:14" ht="13.2" customHeight="1" x14ac:dyDescent="0.3">
      <c r="B146" s="4">
        <f t="shared" si="8"/>
        <v>137</v>
      </c>
      <c r="C146" s="5" t="s">
        <v>136</v>
      </c>
      <c r="D146" s="6" t="s">
        <v>194</v>
      </c>
      <c r="E146" s="4">
        <v>80</v>
      </c>
      <c r="F146" s="4"/>
      <c r="G146" s="7">
        <v>15.028232458465613</v>
      </c>
      <c r="H146" s="7">
        <f t="shared" si="6"/>
        <v>1202.258596677249</v>
      </c>
      <c r="I146" s="10">
        <v>15.028232458465613</v>
      </c>
      <c r="J146" s="7">
        <f t="shared" si="7"/>
        <v>1202.258596677249</v>
      </c>
      <c r="K146" s="10"/>
      <c r="L146" s="10"/>
      <c r="N146" s="10"/>
    </row>
    <row r="147" spans="2:14" ht="13.2" customHeight="1" x14ac:dyDescent="0.3">
      <c r="B147" s="4">
        <f t="shared" si="8"/>
        <v>138</v>
      </c>
      <c r="C147" s="5" t="s">
        <v>137</v>
      </c>
      <c r="D147" s="6" t="s">
        <v>194</v>
      </c>
      <c r="E147" s="4">
        <v>207</v>
      </c>
      <c r="F147" s="4"/>
      <c r="G147" s="7">
        <v>30.96</v>
      </c>
      <c r="H147" s="7">
        <f t="shared" si="6"/>
        <v>6408.72</v>
      </c>
      <c r="I147" s="10">
        <v>30.96</v>
      </c>
      <c r="J147" s="7">
        <f t="shared" si="7"/>
        <v>6408.72</v>
      </c>
      <c r="K147" s="10"/>
      <c r="L147" s="10"/>
      <c r="N147" s="10"/>
    </row>
    <row r="148" spans="2:14" ht="13.2" customHeight="1" x14ac:dyDescent="0.3">
      <c r="B148" s="4">
        <f t="shared" si="8"/>
        <v>139</v>
      </c>
      <c r="C148" s="5" t="s">
        <v>138</v>
      </c>
      <c r="D148" s="6" t="s">
        <v>194</v>
      </c>
      <c r="E148" s="4">
        <v>95</v>
      </c>
      <c r="F148" s="4"/>
      <c r="G148" s="7">
        <v>19.078873525161921</v>
      </c>
      <c r="H148" s="7">
        <f t="shared" si="6"/>
        <v>1812.4929848903826</v>
      </c>
      <c r="I148" s="10">
        <v>19.078873525161921</v>
      </c>
      <c r="J148" s="7">
        <f t="shared" si="7"/>
        <v>1812.4929848903826</v>
      </c>
      <c r="K148" s="10"/>
      <c r="L148" s="10"/>
      <c r="N148" s="10"/>
    </row>
    <row r="149" spans="2:14" ht="13.2" customHeight="1" x14ac:dyDescent="0.3">
      <c r="B149" s="4">
        <f t="shared" si="8"/>
        <v>140</v>
      </c>
      <c r="C149" s="5" t="s">
        <v>139</v>
      </c>
      <c r="D149" s="6" t="s">
        <v>194</v>
      </c>
      <c r="E149" s="4">
        <v>25</v>
      </c>
      <c r="F149" s="4"/>
      <c r="G149" s="7">
        <v>52.408414780813189</v>
      </c>
      <c r="H149" s="7">
        <f t="shared" si="6"/>
        <v>1310.2103695203298</v>
      </c>
      <c r="I149" s="10">
        <v>52.408414780813189</v>
      </c>
      <c r="J149" s="7">
        <f t="shared" si="7"/>
        <v>1310.2103695203298</v>
      </c>
      <c r="K149" s="10"/>
      <c r="L149" s="10"/>
      <c r="N149" s="10"/>
    </row>
    <row r="150" spans="2:14" ht="13.2" customHeight="1" x14ac:dyDescent="0.3">
      <c r="B150" s="4">
        <f t="shared" si="8"/>
        <v>141</v>
      </c>
      <c r="C150" s="5" t="s">
        <v>140</v>
      </c>
      <c r="D150" s="6" t="s">
        <v>194</v>
      </c>
      <c r="E150" s="4">
        <v>123</v>
      </c>
      <c r="F150" s="4"/>
      <c r="G150" s="7">
        <v>6.23</v>
      </c>
      <c r="H150" s="7">
        <f t="shared" si="6"/>
        <v>766.29000000000008</v>
      </c>
      <c r="I150" s="10">
        <v>6.23</v>
      </c>
      <c r="J150" s="7">
        <f t="shared" si="7"/>
        <v>766.29000000000008</v>
      </c>
      <c r="K150" s="10"/>
      <c r="L150" s="10"/>
      <c r="N150" s="10"/>
    </row>
    <row r="151" spans="2:14" ht="13.2" customHeight="1" x14ac:dyDescent="0.3">
      <c r="B151" s="4">
        <f t="shared" si="8"/>
        <v>142</v>
      </c>
      <c r="C151" s="5" t="s">
        <v>141</v>
      </c>
      <c r="D151" s="6" t="s">
        <v>194</v>
      </c>
      <c r="E151" s="4">
        <v>30</v>
      </c>
      <c r="F151" s="4"/>
      <c r="G151" s="7">
        <v>17.956805611923805</v>
      </c>
      <c r="H151" s="7">
        <f t="shared" si="6"/>
        <v>538.70416835771414</v>
      </c>
      <c r="I151" s="10">
        <v>17.956805611923805</v>
      </c>
      <c r="J151" s="7">
        <f t="shared" si="7"/>
        <v>538.70416835771414</v>
      </c>
      <c r="K151" s="10"/>
      <c r="L151" s="10"/>
      <c r="N151" s="10"/>
    </row>
    <row r="152" spans="2:14" ht="13.2" customHeight="1" x14ac:dyDescent="0.3">
      <c r="B152" s="4">
        <f t="shared" si="8"/>
        <v>143</v>
      </c>
      <c r="C152" s="5" t="s">
        <v>142</v>
      </c>
      <c r="D152" s="6" t="s">
        <v>194</v>
      </c>
      <c r="E152" s="4">
        <v>132</v>
      </c>
      <c r="F152" s="4"/>
      <c r="G152" s="7">
        <v>52.408414780813189</v>
      </c>
      <c r="H152" s="7">
        <f t="shared" si="6"/>
        <v>6917.9107510673412</v>
      </c>
      <c r="I152" s="10">
        <v>52.408414780813189</v>
      </c>
      <c r="J152" s="7">
        <f t="shared" si="7"/>
        <v>6917.9107510673412</v>
      </c>
      <c r="K152" s="10"/>
      <c r="L152" s="10"/>
      <c r="N152" s="10"/>
    </row>
    <row r="153" spans="2:14" ht="13.2" customHeight="1" x14ac:dyDescent="0.3">
      <c r="B153" s="4">
        <f t="shared" si="8"/>
        <v>144</v>
      </c>
      <c r="C153" s="5" t="s">
        <v>143</v>
      </c>
      <c r="D153" s="6" t="s">
        <v>194</v>
      </c>
      <c r="E153" s="4">
        <v>348</v>
      </c>
      <c r="F153" s="4"/>
      <c r="G153" s="7">
        <v>4.0999999999999996</v>
      </c>
      <c r="H153" s="7">
        <f t="shared" si="6"/>
        <v>1426.8</v>
      </c>
      <c r="I153" s="10">
        <v>4.0999999999999996</v>
      </c>
      <c r="J153" s="7">
        <f t="shared" si="7"/>
        <v>1426.8</v>
      </c>
      <c r="K153" s="10"/>
      <c r="L153" s="10"/>
      <c r="N153" s="10"/>
    </row>
    <row r="154" spans="2:14" ht="13.2" customHeight="1" x14ac:dyDescent="0.3">
      <c r="B154" s="4">
        <f t="shared" si="8"/>
        <v>145</v>
      </c>
      <c r="C154" s="5" t="s">
        <v>144</v>
      </c>
      <c r="D154" s="6" t="s">
        <v>194</v>
      </c>
      <c r="E154" s="4">
        <v>422</v>
      </c>
      <c r="F154" s="4"/>
      <c r="G154" s="7">
        <v>5.0199999999999996</v>
      </c>
      <c r="H154" s="7">
        <f t="shared" si="6"/>
        <v>2118.4399999999996</v>
      </c>
      <c r="I154" s="10">
        <v>5.0199999999999996</v>
      </c>
      <c r="J154" s="7">
        <f t="shared" si="7"/>
        <v>2118.4399999999996</v>
      </c>
      <c r="K154" s="10"/>
      <c r="L154" s="10"/>
      <c r="N154" s="10"/>
    </row>
    <row r="155" spans="2:14" ht="13.2" customHeight="1" x14ac:dyDescent="0.3">
      <c r="B155" s="4">
        <f t="shared" si="8"/>
        <v>146</v>
      </c>
      <c r="C155" s="5" t="s">
        <v>145</v>
      </c>
      <c r="D155" s="6" t="s">
        <v>194</v>
      </c>
      <c r="E155" s="4">
        <v>282</v>
      </c>
      <c r="F155" s="4"/>
      <c r="G155" s="7">
        <v>5.17</v>
      </c>
      <c r="H155" s="7">
        <f t="shared" si="6"/>
        <v>1457.94</v>
      </c>
      <c r="I155" s="10">
        <v>5.17</v>
      </c>
      <c r="J155" s="7">
        <f t="shared" si="7"/>
        <v>1457.94</v>
      </c>
      <c r="K155" s="10"/>
      <c r="L155" s="10"/>
      <c r="N155" s="10"/>
    </row>
    <row r="156" spans="2:14" ht="13.2" customHeight="1" x14ac:dyDescent="0.3">
      <c r="B156" s="4">
        <f t="shared" si="8"/>
        <v>147</v>
      </c>
      <c r="C156" s="5" t="s">
        <v>146</v>
      </c>
      <c r="D156" s="6" t="s">
        <v>194</v>
      </c>
      <c r="E156" s="4">
        <v>95</v>
      </c>
      <c r="F156" s="4"/>
      <c r="G156" s="7">
        <v>5.33</v>
      </c>
      <c r="H156" s="7">
        <f t="shared" si="6"/>
        <v>506.35</v>
      </c>
      <c r="I156" s="10">
        <v>5.33</v>
      </c>
      <c r="J156" s="7">
        <f t="shared" si="7"/>
        <v>506.35</v>
      </c>
      <c r="K156" s="10"/>
      <c r="L156" s="10"/>
      <c r="N156" s="10"/>
    </row>
    <row r="157" spans="2:14" ht="13.2" customHeight="1" x14ac:dyDescent="0.3">
      <c r="B157" s="4">
        <f t="shared" si="8"/>
        <v>148</v>
      </c>
      <c r="C157" s="5" t="s">
        <v>147</v>
      </c>
      <c r="D157" s="6" t="s">
        <v>194</v>
      </c>
      <c r="E157" s="4">
        <v>52</v>
      </c>
      <c r="F157" s="4"/>
      <c r="G157" s="7">
        <v>51.28</v>
      </c>
      <c r="H157" s="7">
        <f t="shared" si="6"/>
        <v>2666.56</v>
      </c>
      <c r="I157" s="10">
        <v>51.28</v>
      </c>
      <c r="J157" s="7">
        <f t="shared" si="7"/>
        <v>2666.56</v>
      </c>
      <c r="K157" s="10"/>
      <c r="L157" s="10"/>
      <c r="N157" s="10"/>
    </row>
    <row r="158" spans="2:14" ht="13.2" customHeight="1" x14ac:dyDescent="0.3">
      <c r="B158" s="4">
        <f t="shared" si="8"/>
        <v>149</v>
      </c>
      <c r="C158" s="5" t="s">
        <v>148</v>
      </c>
      <c r="D158" s="6" t="s">
        <v>194</v>
      </c>
      <c r="E158" s="4">
        <v>42</v>
      </c>
      <c r="F158" s="4"/>
      <c r="G158" s="7">
        <v>53.12</v>
      </c>
      <c r="H158" s="7">
        <f t="shared" si="6"/>
        <v>2231.04</v>
      </c>
      <c r="I158" s="10">
        <v>53.12</v>
      </c>
      <c r="J158" s="7">
        <f t="shared" si="7"/>
        <v>2231.04</v>
      </c>
      <c r="K158" s="10"/>
      <c r="L158" s="10"/>
      <c r="N158" s="10"/>
    </row>
    <row r="159" spans="2:14" ht="13.2" customHeight="1" x14ac:dyDescent="0.3">
      <c r="B159" s="4">
        <f t="shared" si="8"/>
        <v>150</v>
      </c>
      <c r="C159" s="5" t="s">
        <v>149</v>
      </c>
      <c r="D159" s="6" t="s">
        <v>194</v>
      </c>
      <c r="E159" s="4">
        <v>2</v>
      </c>
      <c r="F159" s="4"/>
      <c r="G159" s="7">
        <v>83.9</v>
      </c>
      <c r="H159" s="7">
        <f t="shared" si="6"/>
        <v>167.8</v>
      </c>
      <c r="I159" s="10">
        <v>83.9</v>
      </c>
      <c r="J159" s="7">
        <f t="shared" si="7"/>
        <v>167.8</v>
      </c>
      <c r="K159" s="10"/>
      <c r="L159" s="10"/>
      <c r="N159" s="10"/>
    </row>
    <row r="160" spans="2:14" ht="13.2" customHeight="1" x14ac:dyDescent="0.3">
      <c r="B160" s="4">
        <f t="shared" si="8"/>
        <v>151</v>
      </c>
      <c r="C160" s="5" t="s">
        <v>150</v>
      </c>
      <c r="D160" s="6" t="s">
        <v>194</v>
      </c>
      <c r="E160" s="4">
        <v>276</v>
      </c>
      <c r="F160" s="4"/>
      <c r="G160" s="7">
        <v>0.49882141621504666</v>
      </c>
      <c r="H160" s="7">
        <f t="shared" si="6"/>
        <v>137.67471087535287</v>
      </c>
      <c r="I160" s="10">
        <v>0.49882141621504666</v>
      </c>
      <c r="J160" s="7">
        <f t="shared" si="7"/>
        <v>137.67471087535287</v>
      </c>
      <c r="K160" s="10"/>
      <c r="L160" s="10"/>
      <c r="N160" s="10"/>
    </row>
    <row r="161" spans="2:14" ht="13.2" customHeight="1" x14ac:dyDescent="0.3">
      <c r="B161" s="4">
        <f t="shared" si="8"/>
        <v>152</v>
      </c>
      <c r="C161" s="5" t="s">
        <v>151</v>
      </c>
      <c r="D161" s="6" t="s">
        <v>194</v>
      </c>
      <c r="E161" s="4">
        <v>1400</v>
      </c>
      <c r="F161" s="4"/>
      <c r="G161" s="7">
        <v>0.38</v>
      </c>
      <c r="H161" s="7">
        <f t="shared" si="6"/>
        <v>532</v>
      </c>
      <c r="I161" s="10">
        <v>0.38</v>
      </c>
      <c r="J161" s="7">
        <f t="shared" si="7"/>
        <v>532</v>
      </c>
      <c r="K161" s="10"/>
      <c r="L161" s="10"/>
      <c r="N161" s="10"/>
    </row>
    <row r="162" spans="2:14" ht="13.2" customHeight="1" x14ac:dyDescent="0.3">
      <c r="B162" s="4">
        <f t="shared" si="8"/>
        <v>153</v>
      </c>
      <c r="C162" s="5" t="s">
        <v>152</v>
      </c>
      <c r="D162" s="6" t="s">
        <v>194</v>
      </c>
      <c r="E162" s="4">
        <v>793</v>
      </c>
      <c r="F162" s="4"/>
      <c r="G162" s="7">
        <v>2.33</v>
      </c>
      <c r="H162" s="7">
        <f t="shared" si="6"/>
        <v>1847.69</v>
      </c>
      <c r="I162" s="10">
        <v>2.33</v>
      </c>
      <c r="J162" s="7">
        <f t="shared" si="7"/>
        <v>1847.69</v>
      </c>
      <c r="K162" s="10"/>
      <c r="L162" s="10"/>
      <c r="N162" s="10"/>
    </row>
    <row r="163" spans="2:14" ht="13.2" customHeight="1" x14ac:dyDescent="0.3">
      <c r="B163" s="4">
        <f t="shared" si="8"/>
        <v>154</v>
      </c>
      <c r="C163" s="5" t="s">
        <v>153</v>
      </c>
      <c r="D163" s="6" t="s">
        <v>194</v>
      </c>
      <c r="E163" s="4">
        <v>674</v>
      </c>
      <c r="F163" s="4"/>
      <c r="G163" s="7">
        <v>5.1823705326695517</v>
      </c>
      <c r="H163" s="7">
        <f t="shared" si="6"/>
        <v>3492.9177390192781</v>
      </c>
      <c r="I163" s="10">
        <v>5.1823705326695517</v>
      </c>
      <c r="J163" s="7">
        <f t="shared" si="7"/>
        <v>3492.9177390192781</v>
      </c>
      <c r="K163" s="10"/>
      <c r="L163" s="10"/>
      <c r="N163" s="10"/>
    </row>
    <row r="164" spans="2:14" ht="13.2" customHeight="1" x14ac:dyDescent="0.3">
      <c r="B164" s="4">
        <f t="shared" si="8"/>
        <v>155</v>
      </c>
      <c r="C164" s="5" t="s">
        <v>154</v>
      </c>
      <c r="D164" s="6" t="s">
        <v>194</v>
      </c>
      <c r="E164" s="4">
        <v>370</v>
      </c>
      <c r="F164" s="4"/>
      <c r="G164" s="7">
        <v>3.28</v>
      </c>
      <c r="H164" s="7">
        <f t="shared" si="6"/>
        <v>1213.5999999999999</v>
      </c>
      <c r="I164" s="10">
        <v>3.28</v>
      </c>
      <c r="J164" s="7">
        <f t="shared" si="7"/>
        <v>1213.5999999999999</v>
      </c>
      <c r="K164" s="10"/>
      <c r="L164" s="10"/>
      <c r="N164" s="10"/>
    </row>
    <row r="165" spans="2:14" ht="13.2" customHeight="1" x14ac:dyDescent="0.3">
      <c r="B165" s="4">
        <f t="shared" si="8"/>
        <v>156</v>
      </c>
      <c r="C165" s="5" t="s">
        <v>155</v>
      </c>
      <c r="D165" s="6" t="s">
        <v>194</v>
      </c>
      <c r="E165" s="4">
        <v>88</v>
      </c>
      <c r="F165" s="4"/>
      <c r="G165" s="7">
        <v>13.374293800280601</v>
      </c>
      <c r="H165" s="7">
        <f t="shared" si="6"/>
        <v>1176.9378544246929</v>
      </c>
      <c r="I165" s="10">
        <v>13.374293800280601</v>
      </c>
      <c r="J165" s="7">
        <f t="shared" si="7"/>
        <v>1176.9378544246929</v>
      </c>
      <c r="K165" s="10"/>
      <c r="L165" s="10"/>
      <c r="N165" s="10"/>
    </row>
    <row r="166" spans="2:14" ht="13.2" customHeight="1" x14ac:dyDescent="0.3">
      <c r="B166" s="4">
        <f t="shared" si="8"/>
        <v>157</v>
      </c>
      <c r="C166" s="5" t="s">
        <v>156</v>
      </c>
      <c r="D166" s="6" t="s">
        <v>194</v>
      </c>
      <c r="E166" s="4">
        <v>79</v>
      </c>
      <c r="F166" s="4"/>
      <c r="G166" s="7">
        <v>25.95</v>
      </c>
      <c r="H166" s="7">
        <f t="shared" si="6"/>
        <v>2050.0499999999997</v>
      </c>
      <c r="I166" s="10">
        <v>25.95</v>
      </c>
      <c r="J166" s="7">
        <f t="shared" si="7"/>
        <v>2050.0499999999997</v>
      </c>
      <c r="K166" s="10"/>
      <c r="L166" s="10"/>
      <c r="N166" s="10"/>
    </row>
    <row r="167" spans="2:14" ht="13.2" customHeight="1" x14ac:dyDescent="0.3">
      <c r="B167" s="4">
        <f t="shared" si="8"/>
        <v>158</v>
      </c>
      <c r="C167" s="5" t="s">
        <v>157</v>
      </c>
      <c r="D167" s="6" t="s">
        <v>194</v>
      </c>
      <c r="E167" s="4">
        <v>82</v>
      </c>
      <c r="F167" s="4"/>
      <c r="G167" s="7">
        <v>45.3</v>
      </c>
      <c r="H167" s="7">
        <f t="shared" ref="H167:H204" si="9">E167*G167</f>
        <v>3714.6</v>
      </c>
      <c r="I167" s="10">
        <v>45.3</v>
      </c>
      <c r="J167" s="7">
        <f t="shared" ref="J167:J205" si="10">E167*I167</f>
        <v>3714.6</v>
      </c>
      <c r="K167" s="10"/>
      <c r="L167" s="10"/>
      <c r="N167" s="10"/>
    </row>
    <row r="168" spans="2:14" ht="13.2" customHeight="1" x14ac:dyDescent="0.3">
      <c r="B168" s="4">
        <f t="shared" si="8"/>
        <v>159</v>
      </c>
      <c r="C168" s="5" t="s">
        <v>158</v>
      </c>
      <c r="D168" s="6" t="s">
        <v>194</v>
      </c>
      <c r="E168" s="4">
        <v>240</v>
      </c>
      <c r="F168" s="4"/>
      <c r="G168" s="7">
        <v>4.5999999999999996</v>
      </c>
      <c r="H168" s="7">
        <f t="shared" si="9"/>
        <v>1104</v>
      </c>
      <c r="I168" s="10">
        <v>4.5999999999999996</v>
      </c>
      <c r="J168" s="7">
        <f t="shared" si="10"/>
        <v>1104</v>
      </c>
      <c r="K168" s="10"/>
      <c r="L168" s="10"/>
      <c r="N168" s="10"/>
    </row>
    <row r="169" spans="2:14" ht="13.2" customHeight="1" x14ac:dyDescent="0.3">
      <c r="B169" s="4">
        <f t="shared" si="8"/>
        <v>160</v>
      </c>
      <c r="C169" s="5" t="s">
        <v>159</v>
      </c>
      <c r="D169" s="6" t="s">
        <v>194</v>
      </c>
      <c r="E169" s="4">
        <v>20</v>
      </c>
      <c r="F169" s="4"/>
      <c r="G169" s="7">
        <v>1.8938679894662245</v>
      </c>
      <c r="H169" s="7">
        <f t="shared" si="9"/>
        <v>37.877359789324487</v>
      </c>
      <c r="I169" s="10">
        <v>1.8938679894662245</v>
      </c>
      <c r="J169" s="7">
        <f t="shared" si="10"/>
        <v>37.877359789324487</v>
      </c>
      <c r="K169" s="10"/>
      <c r="L169" s="10"/>
      <c r="N169" s="10"/>
    </row>
    <row r="170" spans="2:14" ht="13.2" customHeight="1" x14ac:dyDescent="0.3">
      <c r="B170" s="4">
        <f t="shared" si="8"/>
        <v>161</v>
      </c>
      <c r="C170" s="5" t="s">
        <v>160</v>
      </c>
      <c r="D170" s="6" t="s">
        <v>194</v>
      </c>
      <c r="E170" s="4">
        <v>110</v>
      </c>
      <c r="F170" s="4"/>
      <c r="G170" s="7">
        <v>6</v>
      </c>
      <c r="H170" s="7">
        <f t="shared" si="9"/>
        <v>660</v>
      </c>
      <c r="I170" s="10">
        <v>6</v>
      </c>
      <c r="J170" s="7">
        <f t="shared" si="10"/>
        <v>660</v>
      </c>
      <c r="K170" s="10"/>
      <c r="L170" s="10"/>
      <c r="N170" s="10"/>
    </row>
    <row r="171" spans="2:14" ht="13.2" customHeight="1" x14ac:dyDescent="0.3">
      <c r="B171" s="4">
        <f t="shared" si="8"/>
        <v>162</v>
      </c>
      <c r="C171" s="5" t="s">
        <v>161</v>
      </c>
      <c r="D171" s="6" t="s">
        <v>194</v>
      </c>
      <c r="E171" s="4">
        <v>748</v>
      </c>
      <c r="F171" s="4"/>
      <c r="G171" s="7">
        <v>4.6100000000000003</v>
      </c>
      <c r="H171" s="7">
        <f t="shared" si="9"/>
        <v>3448.28</v>
      </c>
      <c r="I171" s="10">
        <v>4.6100000000000003</v>
      </c>
      <c r="J171" s="7">
        <f t="shared" si="10"/>
        <v>3448.28</v>
      </c>
      <c r="K171" s="10"/>
      <c r="L171" s="10"/>
      <c r="N171" s="10"/>
    </row>
    <row r="172" spans="2:14" ht="13.2" customHeight="1" x14ac:dyDescent="0.3">
      <c r="B172" s="4">
        <f t="shared" si="8"/>
        <v>163</v>
      </c>
      <c r="C172" s="5" t="s">
        <v>162</v>
      </c>
      <c r="D172" s="6" t="s">
        <v>194</v>
      </c>
      <c r="E172" s="4">
        <v>200</v>
      </c>
      <c r="F172" s="4"/>
      <c r="G172" s="7">
        <v>8.69</v>
      </c>
      <c r="H172" s="7">
        <f t="shared" si="9"/>
        <v>1738</v>
      </c>
      <c r="I172" s="10">
        <v>8.69</v>
      </c>
      <c r="J172" s="7">
        <f t="shared" si="10"/>
        <v>1738</v>
      </c>
      <c r="K172" s="10"/>
      <c r="L172" s="10"/>
      <c r="N172" s="10"/>
    </row>
    <row r="173" spans="2:14" ht="13.2" customHeight="1" x14ac:dyDescent="0.3">
      <c r="B173" s="4">
        <f t="shared" si="8"/>
        <v>164</v>
      </c>
      <c r="C173" s="5" t="s">
        <v>163</v>
      </c>
      <c r="D173" s="6" t="s">
        <v>194</v>
      </c>
      <c r="E173" s="4">
        <v>131</v>
      </c>
      <c r="F173" s="4"/>
      <c r="G173" s="7">
        <v>26.67</v>
      </c>
      <c r="H173" s="7">
        <f t="shared" si="9"/>
        <v>3493.7700000000004</v>
      </c>
      <c r="I173" s="10">
        <v>26.67</v>
      </c>
      <c r="J173" s="7">
        <f t="shared" si="10"/>
        <v>3493.7700000000004</v>
      </c>
      <c r="K173" s="10"/>
      <c r="L173" s="10"/>
      <c r="N173" s="10"/>
    </row>
    <row r="174" spans="2:14" ht="13.2" customHeight="1" x14ac:dyDescent="0.3">
      <c r="B174" s="4">
        <f t="shared" si="8"/>
        <v>165</v>
      </c>
      <c r="C174" s="5" t="s">
        <v>164</v>
      </c>
      <c r="D174" s="6" t="s">
        <v>194</v>
      </c>
      <c r="E174" s="4">
        <v>557</v>
      </c>
      <c r="F174" s="4"/>
      <c r="G174" s="7">
        <v>6.1</v>
      </c>
      <c r="H174" s="7">
        <f t="shared" si="9"/>
        <v>3397.7</v>
      </c>
      <c r="I174" s="10">
        <v>6.1</v>
      </c>
      <c r="J174" s="7">
        <f t="shared" si="10"/>
        <v>3397.7</v>
      </c>
      <c r="K174" s="10"/>
      <c r="L174" s="10"/>
      <c r="N174" s="10"/>
    </row>
    <row r="175" spans="2:14" ht="13.2" customHeight="1" x14ac:dyDescent="0.3">
      <c r="B175" s="4">
        <f t="shared" si="8"/>
        <v>166</v>
      </c>
      <c r="C175" s="5" t="s">
        <v>165</v>
      </c>
      <c r="D175" s="6" t="s">
        <v>194</v>
      </c>
      <c r="E175" s="4">
        <v>15</v>
      </c>
      <c r="F175" s="4"/>
      <c r="G175" s="7">
        <v>39.630000000000003</v>
      </c>
      <c r="H175" s="7">
        <f t="shared" si="9"/>
        <v>594.45000000000005</v>
      </c>
      <c r="I175" s="10">
        <v>39.630000000000003</v>
      </c>
      <c r="J175" s="7">
        <f t="shared" si="10"/>
        <v>594.45000000000005</v>
      </c>
      <c r="K175" s="10"/>
      <c r="L175" s="10"/>
      <c r="N175" s="10"/>
    </row>
    <row r="176" spans="2:14" ht="13.2" customHeight="1" x14ac:dyDescent="0.3">
      <c r="B176" s="4">
        <f t="shared" si="8"/>
        <v>167</v>
      </c>
      <c r="C176" s="5" t="s">
        <v>166</v>
      </c>
      <c r="D176" s="6" t="s">
        <v>194</v>
      </c>
      <c r="E176" s="4">
        <v>825</v>
      </c>
      <c r="F176" s="4"/>
      <c r="G176" s="7">
        <v>5.08</v>
      </c>
      <c r="H176" s="7">
        <f t="shared" si="9"/>
        <v>4191</v>
      </c>
      <c r="I176" s="10">
        <v>5.08</v>
      </c>
      <c r="J176" s="7">
        <f t="shared" si="10"/>
        <v>4191</v>
      </c>
      <c r="K176" s="10"/>
      <c r="L176" s="10"/>
      <c r="N176" s="10"/>
    </row>
    <row r="177" spans="2:14" ht="13.2" customHeight="1" x14ac:dyDescent="0.3">
      <c r="B177" s="4">
        <f t="shared" si="8"/>
        <v>168</v>
      </c>
      <c r="C177" s="5" t="s">
        <v>275</v>
      </c>
      <c r="D177" s="6" t="s">
        <v>194</v>
      </c>
      <c r="E177" s="4">
        <v>10</v>
      </c>
      <c r="F177" s="4"/>
      <c r="G177" s="7">
        <v>28.86</v>
      </c>
      <c r="H177" s="7">
        <f t="shared" si="9"/>
        <v>288.60000000000002</v>
      </c>
      <c r="I177" s="10">
        <v>28.86</v>
      </c>
      <c r="J177" s="7">
        <f t="shared" si="10"/>
        <v>288.60000000000002</v>
      </c>
      <c r="K177" s="10"/>
      <c r="L177" s="10"/>
      <c r="N177" s="10"/>
    </row>
    <row r="178" spans="2:14" ht="13.2" customHeight="1" x14ac:dyDescent="0.3">
      <c r="B178" s="4">
        <f t="shared" si="8"/>
        <v>169</v>
      </c>
      <c r="C178" s="5" t="s">
        <v>167</v>
      </c>
      <c r="D178" s="6" t="s">
        <v>194</v>
      </c>
      <c r="E178" s="4">
        <v>234</v>
      </c>
      <c r="F178" s="4"/>
      <c r="G178" s="7">
        <v>1.47</v>
      </c>
      <c r="H178" s="7">
        <f t="shared" si="9"/>
        <v>343.98</v>
      </c>
      <c r="I178" s="10">
        <v>1.47</v>
      </c>
      <c r="J178" s="7">
        <f t="shared" si="10"/>
        <v>343.98</v>
      </c>
      <c r="K178" s="10"/>
      <c r="L178" s="10"/>
      <c r="N178" s="10"/>
    </row>
    <row r="179" spans="2:14" ht="13.2" customHeight="1" x14ac:dyDescent="0.3">
      <c r="B179" s="4">
        <f t="shared" si="8"/>
        <v>170</v>
      </c>
      <c r="C179" s="5" t="s">
        <v>168</v>
      </c>
      <c r="D179" s="6" t="s">
        <v>194</v>
      </c>
      <c r="E179" s="4">
        <v>172</v>
      </c>
      <c r="F179" s="4"/>
      <c r="G179" s="7">
        <v>2.4</v>
      </c>
      <c r="H179" s="7">
        <f t="shared" si="9"/>
        <v>412.8</v>
      </c>
      <c r="I179" s="10">
        <v>2.4</v>
      </c>
      <c r="J179" s="7">
        <f t="shared" si="10"/>
        <v>412.8</v>
      </c>
      <c r="K179" s="10"/>
      <c r="L179" s="10"/>
      <c r="N179" s="10"/>
    </row>
    <row r="180" spans="2:14" ht="13.2" customHeight="1" x14ac:dyDescent="0.3">
      <c r="B180" s="4">
        <f t="shared" si="8"/>
        <v>171</v>
      </c>
      <c r="C180" s="5" t="s">
        <v>169</v>
      </c>
      <c r="D180" s="6" t="s">
        <v>194</v>
      </c>
      <c r="E180" s="4">
        <v>346</v>
      </c>
      <c r="F180" s="4"/>
      <c r="G180" s="7">
        <v>6.81</v>
      </c>
      <c r="H180" s="7">
        <f t="shared" si="9"/>
        <v>2356.2599999999998</v>
      </c>
      <c r="I180" s="10">
        <v>6.81</v>
      </c>
      <c r="J180" s="7">
        <f t="shared" si="10"/>
        <v>2356.2599999999998</v>
      </c>
      <c r="K180" s="10"/>
      <c r="L180" s="10"/>
      <c r="N180" s="10"/>
    </row>
    <row r="181" spans="2:14" ht="13.2" customHeight="1" x14ac:dyDescent="0.3">
      <c r="B181" s="4">
        <f t="shared" si="8"/>
        <v>172</v>
      </c>
      <c r="C181" s="5" t="s">
        <v>170</v>
      </c>
      <c r="D181" s="6" t="s">
        <v>194</v>
      </c>
      <c r="E181" s="4">
        <v>140</v>
      </c>
      <c r="F181" s="4"/>
      <c r="G181" s="7">
        <v>16.920000000000002</v>
      </c>
      <c r="H181" s="7">
        <f t="shared" si="9"/>
        <v>2368.8000000000002</v>
      </c>
      <c r="I181" s="10">
        <v>16.920000000000002</v>
      </c>
      <c r="J181" s="7">
        <f t="shared" si="10"/>
        <v>2368.8000000000002</v>
      </c>
      <c r="K181" s="10"/>
      <c r="L181" s="10"/>
      <c r="N181" s="10"/>
    </row>
    <row r="182" spans="2:14" ht="13.2" customHeight="1" x14ac:dyDescent="0.3">
      <c r="B182" s="4">
        <f t="shared" si="8"/>
        <v>173</v>
      </c>
      <c r="C182" s="5" t="s">
        <v>171</v>
      </c>
      <c r="D182" s="6" t="s">
        <v>194</v>
      </c>
      <c r="E182" s="4">
        <v>25</v>
      </c>
      <c r="F182" s="4"/>
      <c r="G182" s="7">
        <v>41.25</v>
      </c>
      <c r="H182" s="7">
        <f t="shared" si="9"/>
        <v>1031.25</v>
      </c>
      <c r="I182" s="10">
        <v>41.25</v>
      </c>
      <c r="J182" s="7">
        <f t="shared" si="10"/>
        <v>1031.25</v>
      </c>
      <c r="K182" s="10"/>
      <c r="L182" s="10"/>
      <c r="N182" s="10"/>
    </row>
    <row r="183" spans="2:14" ht="13.2" customHeight="1" x14ac:dyDescent="0.3">
      <c r="B183" s="4">
        <f t="shared" si="8"/>
        <v>174</v>
      </c>
      <c r="C183" s="5" t="s">
        <v>172</v>
      </c>
      <c r="D183" s="6" t="s">
        <v>194</v>
      </c>
      <c r="E183" s="4">
        <v>2345</v>
      </c>
      <c r="F183" s="4"/>
      <c r="G183" s="7">
        <v>50.22</v>
      </c>
      <c r="H183" s="7">
        <f t="shared" si="9"/>
        <v>117765.9</v>
      </c>
      <c r="I183" s="10">
        <v>50.22</v>
      </c>
      <c r="J183" s="7">
        <f t="shared" si="10"/>
        <v>117765.9</v>
      </c>
      <c r="K183" s="10"/>
      <c r="L183" s="10"/>
      <c r="N183" s="10"/>
    </row>
    <row r="184" spans="2:14" ht="13.2" customHeight="1" x14ac:dyDescent="0.3">
      <c r="B184" s="4">
        <f t="shared" si="8"/>
        <v>175</v>
      </c>
      <c r="C184" s="5" t="s">
        <v>173</v>
      </c>
      <c r="D184" s="6" t="s">
        <v>194</v>
      </c>
      <c r="E184" s="4">
        <v>230</v>
      </c>
      <c r="F184" s="4"/>
      <c r="G184" s="7">
        <v>119.46</v>
      </c>
      <c r="H184" s="7">
        <f t="shared" si="9"/>
        <v>27475.8</v>
      </c>
      <c r="I184" s="10">
        <v>119.46</v>
      </c>
      <c r="J184" s="7">
        <f t="shared" si="10"/>
        <v>27475.8</v>
      </c>
      <c r="K184" s="10"/>
      <c r="L184" s="10"/>
      <c r="N184" s="10"/>
    </row>
    <row r="185" spans="2:14" ht="13.2" customHeight="1" x14ac:dyDescent="0.3">
      <c r="B185" s="4">
        <f t="shared" si="8"/>
        <v>176</v>
      </c>
      <c r="C185" s="5" t="s">
        <v>174</v>
      </c>
      <c r="D185" s="6" t="s">
        <v>194</v>
      </c>
      <c r="E185" s="4">
        <v>5</v>
      </c>
      <c r="F185" s="4"/>
      <c r="G185" s="7">
        <v>236.7</v>
      </c>
      <c r="H185" s="7">
        <f t="shared" si="9"/>
        <v>1183.5</v>
      </c>
      <c r="I185" s="10">
        <v>236.7</v>
      </c>
      <c r="J185" s="7">
        <f t="shared" si="10"/>
        <v>1183.5</v>
      </c>
      <c r="K185" s="10"/>
      <c r="L185" s="10"/>
      <c r="N185" s="10"/>
    </row>
    <row r="186" spans="2:14" ht="13.2" customHeight="1" x14ac:dyDescent="0.3">
      <c r="B186" s="4">
        <f t="shared" si="8"/>
        <v>177</v>
      </c>
      <c r="C186" s="5" t="s">
        <v>175</v>
      </c>
      <c r="D186" s="6" t="s">
        <v>194</v>
      </c>
      <c r="E186" s="4">
        <v>1306</v>
      </c>
      <c r="F186" s="4"/>
      <c r="G186" s="7">
        <v>18.12</v>
      </c>
      <c r="H186" s="7">
        <f t="shared" si="9"/>
        <v>23664.720000000001</v>
      </c>
      <c r="I186" s="10">
        <v>18.12</v>
      </c>
      <c r="J186" s="7">
        <f t="shared" si="10"/>
        <v>23664.720000000001</v>
      </c>
      <c r="K186" s="10"/>
      <c r="L186" s="10"/>
      <c r="N186" s="10"/>
    </row>
    <row r="187" spans="2:14" ht="13.2" customHeight="1" x14ac:dyDescent="0.3">
      <c r="B187" s="4">
        <f t="shared" si="8"/>
        <v>178</v>
      </c>
      <c r="C187" s="5" t="s">
        <v>176</v>
      </c>
      <c r="D187" s="6" t="s">
        <v>194</v>
      </c>
      <c r="E187" s="4">
        <v>1155</v>
      </c>
      <c r="F187" s="4"/>
      <c r="G187" s="7">
        <v>31.32</v>
      </c>
      <c r="H187" s="7">
        <f t="shared" si="9"/>
        <v>36174.6</v>
      </c>
      <c r="I187" s="10">
        <v>31.32</v>
      </c>
      <c r="J187" s="7">
        <f t="shared" si="10"/>
        <v>36174.6</v>
      </c>
      <c r="K187" s="10"/>
      <c r="L187" s="10"/>
      <c r="N187" s="10"/>
    </row>
    <row r="188" spans="2:14" ht="13.2" customHeight="1" x14ac:dyDescent="0.3">
      <c r="B188" s="4">
        <f t="shared" si="8"/>
        <v>179</v>
      </c>
      <c r="C188" s="5" t="s">
        <v>177</v>
      </c>
      <c r="D188" s="6" t="s">
        <v>194</v>
      </c>
      <c r="E188" s="4">
        <v>1107</v>
      </c>
      <c r="F188" s="4"/>
      <c r="G188" s="7">
        <v>42.42</v>
      </c>
      <c r="H188" s="7">
        <f t="shared" si="9"/>
        <v>46958.94</v>
      </c>
      <c r="I188" s="10">
        <v>42.42</v>
      </c>
      <c r="J188" s="7">
        <f t="shared" si="10"/>
        <v>46958.94</v>
      </c>
      <c r="K188" s="10"/>
      <c r="L188" s="10"/>
      <c r="N188" s="10"/>
    </row>
    <row r="189" spans="2:14" ht="13.2" customHeight="1" x14ac:dyDescent="0.3">
      <c r="B189" s="4">
        <f t="shared" si="8"/>
        <v>180</v>
      </c>
      <c r="C189" s="5" t="s">
        <v>178</v>
      </c>
      <c r="D189" s="6" t="s">
        <v>194</v>
      </c>
      <c r="E189" s="4">
        <v>569</v>
      </c>
      <c r="F189" s="4"/>
      <c r="G189" s="7">
        <v>77.040000000000006</v>
      </c>
      <c r="H189" s="7">
        <f t="shared" si="9"/>
        <v>43835.76</v>
      </c>
      <c r="I189" s="10">
        <v>77.040000000000006</v>
      </c>
      <c r="J189" s="7">
        <f t="shared" si="10"/>
        <v>43835.76</v>
      </c>
      <c r="K189" s="10"/>
      <c r="L189" s="10"/>
      <c r="N189" s="10"/>
    </row>
    <row r="190" spans="2:14" ht="13.2" customHeight="1" x14ac:dyDescent="0.3">
      <c r="B190" s="4">
        <f t="shared" si="8"/>
        <v>181</v>
      </c>
      <c r="C190" s="5" t="s">
        <v>179</v>
      </c>
      <c r="D190" s="6" t="s">
        <v>194</v>
      </c>
      <c r="E190" s="4">
        <v>130</v>
      </c>
      <c r="F190" s="4"/>
      <c r="G190" s="7">
        <v>157.02000000000001</v>
      </c>
      <c r="H190" s="7">
        <f t="shared" si="9"/>
        <v>20412.600000000002</v>
      </c>
      <c r="I190" s="10">
        <v>157.02000000000001</v>
      </c>
      <c r="J190" s="7">
        <f t="shared" si="10"/>
        <v>20412.600000000002</v>
      </c>
      <c r="K190" s="10"/>
      <c r="L190" s="10"/>
      <c r="N190" s="10"/>
    </row>
    <row r="191" spans="2:14" ht="13.2" customHeight="1" x14ac:dyDescent="0.3">
      <c r="B191" s="4">
        <f t="shared" si="8"/>
        <v>182</v>
      </c>
      <c r="C191" s="5" t="s">
        <v>180</v>
      </c>
      <c r="D191" s="6" t="s">
        <v>194</v>
      </c>
      <c r="E191" s="4">
        <v>23</v>
      </c>
      <c r="F191" s="4"/>
      <c r="G191" s="7">
        <v>34.99</v>
      </c>
      <c r="H191" s="7">
        <f t="shared" si="9"/>
        <v>804.7700000000001</v>
      </c>
      <c r="I191" s="10">
        <v>34.99</v>
      </c>
      <c r="J191" s="7">
        <f t="shared" si="10"/>
        <v>804.7700000000001</v>
      </c>
      <c r="K191" s="10"/>
      <c r="L191" s="10"/>
      <c r="N191" s="10"/>
    </row>
    <row r="192" spans="2:14" ht="13.2" customHeight="1" x14ac:dyDescent="0.3">
      <c r="B192" s="4">
        <f t="shared" si="8"/>
        <v>183</v>
      </c>
      <c r="C192" s="5" t="s">
        <v>181</v>
      </c>
      <c r="D192" s="6" t="s">
        <v>194</v>
      </c>
      <c r="E192" s="4">
        <v>16</v>
      </c>
      <c r="F192" s="4"/>
      <c r="G192" s="7">
        <v>276.06</v>
      </c>
      <c r="H192" s="7">
        <f t="shared" si="9"/>
        <v>4416.96</v>
      </c>
      <c r="I192" s="10">
        <v>276.06</v>
      </c>
      <c r="J192" s="7">
        <f t="shared" si="10"/>
        <v>4416.96</v>
      </c>
      <c r="K192" s="10"/>
      <c r="L192" s="10"/>
      <c r="N192" s="10"/>
    </row>
    <row r="193" spans="2:14" ht="13.2" customHeight="1" x14ac:dyDescent="0.3">
      <c r="B193" s="4">
        <f t="shared" si="8"/>
        <v>184</v>
      </c>
      <c r="C193" s="5" t="s">
        <v>182</v>
      </c>
      <c r="D193" s="6" t="s">
        <v>194</v>
      </c>
      <c r="E193" s="4">
        <v>1149</v>
      </c>
      <c r="F193" s="4"/>
      <c r="G193" s="7">
        <v>7.649</v>
      </c>
      <c r="H193" s="7">
        <f t="shared" si="9"/>
        <v>8788.7010000000009</v>
      </c>
      <c r="I193" s="10">
        <v>7.649</v>
      </c>
      <c r="J193" s="7">
        <f t="shared" si="10"/>
        <v>8788.7010000000009</v>
      </c>
      <c r="K193" s="10"/>
      <c r="L193" s="10"/>
      <c r="N193" s="10"/>
    </row>
    <row r="194" spans="2:14" ht="13.2" customHeight="1" x14ac:dyDescent="0.3">
      <c r="B194" s="4">
        <f t="shared" si="8"/>
        <v>185</v>
      </c>
      <c r="C194" s="5" t="s">
        <v>183</v>
      </c>
      <c r="D194" s="6" t="s">
        <v>194</v>
      </c>
      <c r="E194" s="4">
        <v>4715</v>
      </c>
      <c r="F194" s="4"/>
      <c r="G194" s="7">
        <v>9.1199999999999992</v>
      </c>
      <c r="H194" s="7">
        <f t="shared" si="9"/>
        <v>43000.799999999996</v>
      </c>
      <c r="I194" s="10">
        <v>9.1199999999999992</v>
      </c>
      <c r="J194" s="7">
        <f t="shared" si="10"/>
        <v>43000.799999999996</v>
      </c>
      <c r="K194" s="10"/>
      <c r="L194" s="10"/>
      <c r="N194" s="10"/>
    </row>
    <row r="195" spans="2:14" ht="13.2" customHeight="1" x14ac:dyDescent="0.3">
      <c r="B195" s="4">
        <f t="shared" si="8"/>
        <v>186</v>
      </c>
      <c r="C195" s="5" t="s">
        <v>184</v>
      </c>
      <c r="D195" s="6" t="s">
        <v>194</v>
      </c>
      <c r="E195" s="4">
        <v>852</v>
      </c>
      <c r="F195" s="4"/>
      <c r="G195" s="7">
        <v>19.739999999999998</v>
      </c>
      <c r="H195" s="7">
        <f t="shared" si="9"/>
        <v>16818.48</v>
      </c>
      <c r="I195" s="10">
        <v>19.739999999999998</v>
      </c>
      <c r="J195" s="7">
        <f t="shared" si="10"/>
        <v>16818.48</v>
      </c>
      <c r="K195" s="10"/>
      <c r="L195" s="10"/>
      <c r="N195" s="10"/>
    </row>
    <row r="196" spans="2:14" ht="13.2" customHeight="1" x14ac:dyDescent="0.3">
      <c r="B196" s="4">
        <f t="shared" si="8"/>
        <v>187</v>
      </c>
      <c r="C196" s="5" t="s">
        <v>185</v>
      </c>
      <c r="D196" s="6" t="s">
        <v>194</v>
      </c>
      <c r="E196" s="4">
        <v>1295</v>
      </c>
      <c r="F196" s="4"/>
      <c r="G196" s="7">
        <v>38.04</v>
      </c>
      <c r="H196" s="7">
        <f t="shared" si="9"/>
        <v>49261.799999999996</v>
      </c>
      <c r="I196" s="10">
        <v>38.04</v>
      </c>
      <c r="J196" s="7">
        <f t="shared" si="10"/>
        <v>49261.799999999996</v>
      </c>
      <c r="K196" s="10"/>
      <c r="L196" s="10"/>
      <c r="N196" s="10"/>
    </row>
    <row r="197" spans="2:14" ht="13.2" customHeight="1" x14ac:dyDescent="0.3">
      <c r="B197" s="4">
        <f t="shared" si="8"/>
        <v>188</v>
      </c>
      <c r="C197" s="5" t="s">
        <v>186</v>
      </c>
      <c r="D197" s="6" t="s">
        <v>194</v>
      </c>
      <c r="E197" s="4">
        <v>941</v>
      </c>
      <c r="F197" s="4"/>
      <c r="G197" s="7">
        <v>33.9</v>
      </c>
      <c r="H197" s="7">
        <f t="shared" si="9"/>
        <v>31899.899999999998</v>
      </c>
      <c r="I197" s="10">
        <v>33.9</v>
      </c>
      <c r="J197" s="7">
        <f t="shared" si="10"/>
        <v>31899.899999999998</v>
      </c>
      <c r="K197" s="10"/>
      <c r="L197" s="10"/>
      <c r="N197" s="10"/>
    </row>
    <row r="198" spans="2:14" ht="13.2" customHeight="1" x14ac:dyDescent="0.3">
      <c r="B198" s="4">
        <f t="shared" si="8"/>
        <v>189</v>
      </c>
      <c r="C198" s="5" t="s">
        <v>187</v>
      </c>
      <c r="D198" s="6" t="s">
        <v>194</v>
      </c>
      <c r="E198" s="4">
        <v>311</v>
      </c>
      <c r="F198" s="4"/>
      <c r="G198" s="7">
        <v>74.52</v>
      </c>
      <c r="H198" s="7">
        <f t="shared" si="9"/>
        <v>23175.719999999998</v>
      </c>
      <c r="I198" s="10">
        <v>74.52</v>
      </c>
      <c r="J198" s="7">
        <f t="shared" si="10"/>
        <v>23175.719999999998</v>
      </c>
      <c r="K198" s="10"/>
      <c r="L198" s="10"/>
      <c r="N198" s="10"/>
    </row>
    <row r="199" spans="2:14" ht="13.2" customHeight="1" x14ac:dyDescent="0.3">
      <c r="B199" s="4">
        <f t="shared" si="8"/>
        <v>190</v>
      </c>
      <c r="C199" s="5" t="s">
        <v>188</v>
      </c>
      <c r="D199" s="6" t="s">
        <v>194</v>
      </c>
      <c r="E199" s="4">
        <v>94</v>
      </c>
      <c r="F199" s="4"/>
      <c r="G199" s="7">
        <v>112.871</v>
      </c>
      <c r="H199" s="7">
        <f t="shared" si="9"/>
        <v>10609.874</v>
      </c>
      <c r="I199" s="10">
        <v>112.871</v>
      </c>
      <c r="J199" s="7">
        <f t="shared" si="10"/>
        <v>10609.874</v>
      </c>
      <c r="K199" s="10"/>
      <c r="L199" s="10"/>
      <c r="N199" s="10"/>
    </row>
    <row r="200" spans="2:14" ht="13.2" customHeight="1" x14ac:dyDescent="0.3">
      <c r="B200" s="4">
        <f t="shared" si="8"/>
        <v>191</v>
      </c>
      <c r="C200" s="5" t="s">
        <v>189</v>
      </c>
      <c r="D200" s="6" t="s">
        <v>194</v>
      </c>
      <c r="E200" s="4">
        <v>31</v>
      </c>
      <c r="F200" s="4"/>
      <c r="G200" s="7">
        <v>160.16</v>
      </c>
      <c r="H200" s="7">
        <f t="shared" si="9"/>
        <v>4964.96</v>
      </c>
      <c r="I200" s="10">
        <v>160.16</v>
      </c>
      <c r="J200" s="7">
        <f t="shared" si="10"/>
        <v>4964.96</v>
      </c>
      <c r="K200" s="10"/>
      <c r="L200" s="10"/>
      <c r="N200" s="10"/>
    </row>
    <row r="201" spans="2:14" ht="13.2" customHeight="1" x14ac:dyDescent="0.3">
      <c r="B201" s="4">
        <f t="shared" si="8"/>
        <v>192</v>
      </c>
      <c r="C201" s="5" t="s">
        <v>190</v>
      </c>
      <c r="D201" s="6" t="s">
        <v>194</v>
      </c>
      <c r="E201" s="4">
        <v>7</v>
      </c>
      <c r="F201" s="4"/>
      <c r="G201" s="7">
        <v>203.4356589638505</v>
      </c>
      <c r="H201" s="7">
        <f t="shared" si="9"/>
        <v>1424.0496127469535</v>
      </c>
      <c r="I201" s="10">
        <v>203.4356589638505</v>
      </c>
      <c r="J201" s="7">
        <f t="shared" si="10"/>
        <v>1424.0496127469535</v>
      </c>
      <c r="K201" s="10"/>
      <c r="L201" s="10"/>
      <c r="N201" s="10"/>
    </row>
    <row r="202" spans="2:14" ht="13.2" customHeight="1" x14ac:dyDescent="0.3">
      <c r="B202" s="4">
        <f t="shared" si="8"/>
        <v>193</v>
      </c>
      <c r="C202" s="5" t="s">
        <v>191</v>
      </c>
      <c r="D202" s="6" t="s">
        <v>194</v>
      </c>
      <c r="E202" s="4">
        <v>20</v>
      </c>
      <c r="F202" s="4"/>
      <c r="G202" s="7">
        <v>16.53</v>
      </c>
      <c r="H202" s="7">
        <f t="shared" si="9"/>
        <v>330.6</v>
      </c>
      <c r="I202" s="10">
        <v>16.53</v>
      </c>
      <c r="J202" s="7">
        <f t="shared" si="10"/>
        <v>330.6</v>
      </c>
      <c r="K202" s="10"/>
      <c r="L202" s="10"/>
      <c r="N202" s="10"/>
    </row>
    <row r="203" spans="2:14" ht="13.2" customHeight="1" x14ac:dyDescent="0.3">
      <c r="B203" s="4">
        <f t="shared" si="8"/>
        <v>194</v>
      </c>
      <c r="C203" s="5" t="s">
        <v>192</v>
      </c>
      <c r="D203" s="6" t="s">
        <v>194</v>
      </c>
      <c r="E203" s="4">
        <v>4</v>
      </c>
      <c r="F203" s="4"/>
      <c r="G203" s="7">
        <v>39.380000000000003</v>
      </c>
      <c r="H203" s="7">
        <f t="shared" si="9"/>
        <v>157.52000000000001</v>
      </c>
      <c r="I203" s="10">
        <v>39.380000000000003</v>
      </c>
      <c r="J203" s="7">
        <f t="shared" si="10"/>
        <v>157.52000000000001</v>
      </c>
      <c r="K203" s="10"/>
      <c r="L203" s="10"/>
      <c r="N203" s="10"/>
    </row>
    <row r="204" spans="2:14" ht="13.2" customHeight="1" x14ac:dyDescent="0.3">
      <c r="B204" s="4">
        <f t="shared" ref="B204:B262" si="11">B203+1</f>
        <v>195</v>
      </c>
      <c r="C204" s="5" t="s">
        <v>193</v>
      </c>
      <c r="D204" s="6" t="s">
        <v>194</v>
      </c>
      <c r="E204" s="4">
        <v>8</v>
      </c>
      <c r="F204" s="4"/>
      <c r="G204" s="7">
        <v>68.055815366917614</v>
      </c>
      <c r="H204" s="7">
        <f t="shared" si="9"/>
        <v>544.44652293534091</v>
      </c>
      <c r="I204" s="10">
        <v>68.055815366917614</v>
      </c>
      <c r="J204" s="7">
        <f t="shared" si="10"/>
        <v>544.44652293534091</v>
      </c>
      <c r="K204" s="10"/>
      <c r="L204" s="10"/>
      <c r="N204" s="10"/>
    </row>
    <row r="205" spans="2:14" ht="13.2" customHeight="1" x14ac:dyDescent="0.3">
      <c r="B205" s="4">
        <f t="shared" si="11"/>
        <v>196</v>
      </c>
      <c r="C205" s="5" t="s">
        <v>217</v>
      </c>
      <c r="D205" s="6" t="s">
        <v>194</v>
      </c>
      <c r="E205" s="4">
        <v>1</v>
      </c>
      <c r="F205" s="4"/>
      <c r="G205" s="7">
        <v>32.362200000000001</v>
      </c>
      <c r="H205" s="7"/>
      <c r="I205" s="10">
        <v>32.362200000000001</v>
      </c>
      <c r="J205" s="7">
        <f t="shared" si="10"/>
        <v>32.362200000000001</v>
      </c>
      <c r="K205" s="10"/>
      <c r="L205" s="10"/>
      <c r="N205" s="10"/>
    </row>
    <row r="206" spans="2:14" ht="13.2" customHeight="1" x14ac:dyDescent="0.3">
      <c r="B206" s="4">
        <f t="shared" si="11"/>
        <v>197</v>
      </c>
      <c r="C206" s="5" t="s">
        <v>218</v>
      </c>
      <c r="D206" s="6" t="s">
        <v>194</v>
      </c>
      <c r="E206" s="4">
        <v>1</v>
      </c>
      <c r="F206" s="4"/>
      <c r="G206" s="7">
        <v>38.4696</v>
      </c>
      <c r="H206" s="7"/>
      <c r="I206" s="10">
        <v>38.4696</v>
      </c>
      <c r="J206" s="7"/>
      <c r="K206" s="10"/>
      <c r="L206" s="10"/>
      <c r="N206" s="10"/>
    </row>
    <row r="207" spans="2:14" ht="13.2" customHeight="1" x14ac:dyDescent="0.3">
      <c r="B207" s="4">
        <f t="shared" si="11"/>
        <v>198</v>
      </c>
      <c r="C207" s="5" t="s">
        <v>219</v>
      </c>
      <c r="D207" s="6" t="s">
        <v>194</v>
      </c>
      <c r="E207" s="4">
        <v>1</v>
      </c>
      <c r="F207" s="4"/>
      <c r="G207" s="7">
        <v>64.794600000000003</v>
      </c>
      <c r="H207" s="7"/>
      <c r="I207" s="10">
        <v>64.794600000000003</v>
      </c>
      <c r="J207" s="7"/>
      <c r="K207" s="10"/>
      <c r="L207" s="10"/>
      <c r="N207" s="10"/>
    </row>
    <row r="208" spans="2:14" ht="13.2" customHeight="1" x14ac:dyDescent="0.3">
      <c r="B208" s="4">
        <f t="shared" si="11"/>
        <v>199</v>
      </c>
      <c r="C208" s="5" t="s">
        <v>220</v>
      </c>
      <c r="D208" s="6" t="s">
        <v>194</v>
      </c>
      <c r="E208" s="4">
        <v>1</v>
      </c>
      <c r="F208" s="4"/>
      <c r="G208" s="7">
        <v>101.22839999999999</v>
      </c>
      <c r="H208" s="7"/>
      <c r="I208" s="10">
        <v>101.22839999999999</v>
      </c>
      <c r="J208" s="7"/>
      <c r="K208" s="10"/>
      <c r="L208" s="10"/>
      <c r="N208" s="10"/>
    </row>
    <row r="209" spans="2:14" ht="13.2" customHeight="1" x14ac:dyDescent="0.3">
      <c r="B209" s="4">
        <f t="shared" si="11"/>
        <v>200</v>
      </c>
      <c r="C209" s="5" t="s">
        <v>221</v>
      </c>
      <c r="D209" s="6" t="s">
        <v>194</v>
      </c>
      <c r="E209" s="4">
        <v>1</v>
      </c>
      <c r="F209" s="4"/>
      <c r="G209" s="7">
        <v>203.57999999999998</v>
      </c>
      <c r="H209" s="7"/>
      <c r="I209" s="10">
        <v>203.57999999999998</v>
      </c>
      <c r="J209" s="7"/>
      <c r="K209" s="10"/>
      <c r="L209" s="10"/>
      <c r="N209" s="10"/>
    </row>
    <row r="210" spans="2:14" ht="13.2" customHeight="1" x14ac:dyDescent="0.3">
      <c r="B210" s="4">
        <f t="shared" si="11"/>
        <v>201</v>
      </c>
      <c r="C210" s="5" t="s">
        <v>222</v>
      </c>
      <c r="D210" s="6" t="s">
        <v>194</v>
      </c>
      <c r="E210" s="4">
        <v>1</v>
      </c>
      <c r="F210" s="4"/>
      <c r="G210" s="7">
        <v>1.2150000000000001</v>
      </c>
      <c r="H210" s="7"/>
      <c r="I210" s="10">
        <v>1.17855</v>
      </c>
      <c r="J210" s="7"/>
      <c r="K210" s="10"/>
      <c r="L210" s="10"/>
      <c r="N210" s="10"/>
    </row>
    <row r="211" spans="2:14" ht="13.2" customHeight="1" x14ac:dyDescent="0.3">
      <c r="B211" s="4">
        <f t="shared" si="11"/>
        <v>202</v>
      </c>
      <c r="C211" s="5" t="s">
        <v>223</v>
      </c>
      <c r="D211" s="6" t="s">
        <v>194</v>
      </c>
      <c r="E211" s="4">
        <v>1</v>
      </c>
      <c r="F211" s="4"/>
      <c r="G211" s="7">
        <v>1.2870000000000001</v>
      </c>
      <c r="H211" s="7"/>
      <c r="I211" s="10">
        <v>1.2483900000000001</v>
      </c>
      <c r="J211" s="7"/>
      <c r="K211" s="10"/>
      <c r="L211" s="10"/>
      <c r="N211" s="10"/>
    </row>
    <row r="212" spans="2:14" ht="13.2" customHeight="1" x14ac:dyDescent="0.3">
      <c r="B212" s="4">
        <f t="shared" si="11"/>
        <v>203</v>
      </c>
      <c r="C212" s="5" t="s">
        <v>224</v>
      </c>
      <c r="D212" s="6" t="s">
        <v>194</v>
      </c>
      <c r="E212" s="4">
        <v>1</v>
      </c>
      <c r="F212" s="4"/>
      <c r="G212" s="7">
        <v>2.1870000000000003</v>
      </c>
      <c r="H212" s="7"/>
      <c r="I212" s="10">
        <v>2.1213900000000003</v>
      </c>
      <c r="J212" s="7"/>
      <c r="K212" s="10"/>
      <c r="L212" s="10"/>
      <c r="N212" s="10"/>
    </row>
    <row r="213" spans="2:14" ht="13.2" customHeight="1" x14ac:dyDescent="0.3">
      <c r="B213" s="4">
        <f t="shared" si="11"/>
        <v>204</v>
      </c>
      <c r="C213" s="5" t="s">
        <v>225</v>
      </c>
      <c r="D213" s="6" t="s">
        <v>194</v>
      </c>
      <c r="E213" s="4">
        <v>1</v>
      </c>
      <c r="F213" s="4"/>
      <c r="G213" s="7">
        <v>5.9985900000000001</v>
      </c>
      <c r="H213" s="7"/>
      <c r="I213" s="10">
        <v>5.8186323</v>
      </c>
      <c r="J213" s="7"/>
      <c r="K213" s="10"/>
      <c r="L213" s="10"/>
      <c r="N213" s="10"/>
    </row>
    <row r="214" spans="2:14" ht="13.2" customHeight="1" x14ac:dyDescent="0.3">
      <c r="B214" s="4">
        <f t="shared" si="11"/>
        <v>205</v>
      </c>
      <c r="C214" s="5" t="s">
        <v>226</v>
      </c>
      <c r="D214" s="6" t="s">
        <v>194</v>
      </c>
      <c r="E214" s="4">
        <v>1</v>
      </c>
      <c r="F214" s="4"/>
      <c r="G214" s="7">
        <v>10.64115</v>
      </c>
      <c r="H214" s="7"/>
      <c r="I214" s="10">
        <v>10.321915499999999</v>
      </c>
      <c r="J214" s="7"/>
      <c r="K214" s="10"/>
      <c r="L214" s="10"/>
      <c r="N214" s="10"/>
    </row>
    <row r="215" spans="2:14" ht="13.2" customHeight="1" x14ac:dyDescent="0.3">
      <c r="B215" s="4">
        <f t="shared" si="11"/>
        <v>206</v>
      </c>
      <c r="C215" s="5" t="s">
        <v>227</v>
      </c>
      <c r="D215" s="6" t="s">
        <v>194</v>
      </c>
      <c r="E215" s="4">
        <v>1</v>
      </c>
      <c r="F215" s="4"/>
      <c r="G215" s="7">
        <v>3.06</v>
      </c>
      <c r="H215" s="7"/>
      <c r="I215" s="10">
        <v>2.9681999999999999</v>
      </c>
      <c r="J215" s="7"/>
      <c r="K215" s="10"/>
      <c r="L215" s="10"/>
      <c r="N215" s="10"/>
    </row>
    <row r="216" spans="2:14" ht="13.2" customHeight="1" x14ac:dyDescent="0.3">
      <c r="B216" s="4">
        <f t="shared" si="11"/>
        <v>207</v>
      </c>
      <c r="C216" s="5" t="s">
        <v>228</v>
      </c>
      <c r="D216" s="6" t="s">
        <v>194</v>
      </c>
      <c r="E216" s="4">
        <v>1</v>
      </c>
      <c r="F216" s="4"/>
      <c r="G216" s="7">
        <v>5.8067099999999989</v>
      </c>
      <c r="H216" s="7"/>
      <c r="I216" s="10">
        <v>5.6325086999999989</v>
      </c>
      <c r="J216" s="7"/>
      <c r="K216" s="10"/>
      <c r="L216" s="10"/>
      <c r="N216" s="10"/>
    </row>
    <row r="217" spans="2:14" ht="13.2" customHeight="1" x14ac:dyDescent="0.3">
      <c r="B217" s="4">
        <f t="shared" si="11"/>
        <v>208</v>
      </c>
      <c r="C217" s="5" t="s">
        <v>229</v>
      </c>
      <c r="D217" s="6" t="s">
        <v>194</v>
      </c>
      <c r="E217" s="4">
        <v>1</v>
      </c>
      <c r="F217" s="4"/>
      <c r="G217" s="7">
        <v>11.8287</v>
      </c>
      <c r="H217" s="7"/>
      <c r="I217" s="10">
        <v>11.473839</v>
      </c>
      <c r="J217" s="7"/>
      <c r="K217" s="10"/>
      <c r="L217" s="10"/>
      <c r="N217" s="10"/>
    </row>
    <row r="218" spans="2:14" ht="13.2" customHeight="1" x14ac:dyDescent="0.3">
      <c r="B218" s="4">
        <f t="shared" si="11"/>
        <v>209</v>
      </c>
      <c r="C218" s="5" t="s">
        <v>230</v>
      </c>
      <c r="D218" s="6" t="s">
        <v>194</v>
      </c>
      <c r="E218" s="4">
        <v>1</v>
      </c>
      <c r="F218" s="4"/>
      <c r="G218" s="7">
        <v>30.005819999999996</v>
      </c>
      <c r="H218" s="7"/>
      <c r="I218" s="10">
        <v>29.105645399999997</v>
      </c>
      <c r="J218" s="7"/>
      <c r="K218" s="10"/>
      <c r="L218" s="10"/>
      <c r="N218" s="10"/>
    </row>
    <row r="219" spans="2:14" ht="13.2" customHeight="1" x14ac:dyDescent="0.3">
      <c r="B219" s="4">
        <f t="shared" si="11"/>
        <v>210</v>
      </c>
      <c r="C219" s="5" t="s">
        <v>231</v>
      </c>
      <c r="D219" s="6" t="s">
        <v>194</v>
      </c>
      <c r="E219" s="4">
        <v>1</v>
      </c>
      <c r="F219" s="4"/>
      <c r="G219" s="7">
        <v>0.95939999999999981</v>
      </c>
      <c r="H219" s="7"/>
      <c r="I219" s="10">
        <v>0.93061799999999983</v>
      </c>
      <c r="J219" s="7"/>
      <c r="K219" s="10"/>
      <c r="L219" s="10"/>
      <c r="N219" s="10"/>
    </row>
    <row r="220" spans="2:14" ht="13.2" customHeight="1" x14ac:dyDescent="0.3">
      <c r="B220" s="4">
        <f t="shared" si="11"/>
        <v>211</v>
      </c>
      <c r="C220" s="5" t="s">
        <v>232</v>
      </c>
      <c r="D220" s="6" t="s">
        <v>194</v>
      </c>
      <c r="E220" s="4">
        <v>1</v>
      </c>
      <c r="F220" s="4"/>
      <c r="G220" s="7">
        <v>2.1510000000000002</v>
      </c>
      <c r="H220" s="7"/>
      <c r="I220" s="10">
        <v>2.0864700000000003</v>
      </c>
      <c r="J220" s="7"/>
      <c r="K220" s="10"/>
      <c r="L220" s="10"/>
      <c r="N220" s="10"/>
    </row>
    <row r="221" spans="2:14" ht="13.2" customHeight="1" x14ac:dyDescent="0.3">
      <c r="B221" s="4">
        <f t="shared" si="11"/>
        <v>212</v>
      </c>
      <c r="C221" s="5" t="s">
        <v>233</v>
      </c>
      <c r="D221" s="6" t="s">
        <v>194</v>
      </c>
      <c r="E221" s="4">
        <v>1</v>
      </c>
      <c r="F221" s="4"/>
      <c r="G221" s="7">
        <v>4.2073200000000011</v>
      </c>
      <c r="H221" s="7"/>
      <c r="I221" s="10">
        <v>4.0811004000000013</v>
      </c>
      <c r="J221" s="7"/>
      <c r="K221" s="10"/>
      <c r="L221" s="10"/>
      <c r="N221" s="10"/>
    </row>
    <row r="222" spans="2:14" ht="13.2" customHeight="1" x14ac:dyDescent="0.3">
      <c r="B222" s="4">
        <f t="shared" si="11"/>
        <v>213</v>
      </c>
      <c r="C222" s="5" t="s">
        <v>234</v>
      </c>
      <c r="D222" s="6" t="s">
        <v>194</v>
      </c>
      <c r="E222" s="4">
        <v>1</v>
      </c>
      <c r="F222" s="4"/>
      <c r="G222" s="7">
        <v>7.7641199999999992</v>
      </c>
      <c r="H222" s="7"/>
      <c r="I222" s="10">
        <v>7.5311963999999989</v>
      </c>
      <c r="J222" s="7"/>
      <c r="K222" s="10"/>
      <c r="L222" s="10"/>
      <c r="N222" s="10"/>
    </row>
    <row r="223" spans="2:14" ht="13.2" customHeight="1" x14ac:dyDescent="0.3">
      <c r="B223" s="4">
        <f t="shared" si="11"/>
        <v>214</v>
      </c>
      <c r="C223" s="5" t="s">
        <v>235</v>
      </c>
      <c r="D223" s="6" t="s">
        <v>194</v>
      </c>
      <c r="E223" s="4">
        <v>1</v>
      </c>
      <c r="F223" s="4"/>
      <c r="G223" s="7">
        <v>16.976700000000001</v>
      </c>
      <c r="H223" s="7"/>
      <c r="I223" s="10">
        <v>16.467399</v>
      </c>
      <c r="J223" s="7"/>
      <c r="K223" s="10"/>
      <c r="L223" s="10"/>
      <c r="N223" s="10"/>
    </row>
    <row r="224" spans="2:14" ht="13.2" customHeight="1" x14ac:dyDescent="0.3">
      <c r="B224" s="4">
        <f t="shared" si="11"/>
        <v>215</v>
      </c>
      <c r="C224" s="5" t="s">
        <v>236</v>
      </c>
      <c r="D224" s="6" t="s">
        <v>194</v>
      </c>
      <c r="E224" s="4">
        <v>1</v>
      </c>
      <c r="F224" s="4"/>
      <c r="G224" s="7">
        <v>1.3104000000000002</v>
      </c>
      <c r="H224" s="7"/>
      <c r="I224" s="10">
        <v>1.2710880000000002</v>
      </c>
      <c r="J224" s="7"/>
      <c r="K224" s="10"/>
      <c r="L224" s="10"/>
      <c r="N224" s="10"/>
    </row>
    <row r="225" spans="2:14" ht="13.2" customHeight="1" x14ac:dyDescent="0.3">
      <c r="B225" s="4">
        <f t="shared" si="11"/>
        <v>216</v>
      </c>
      <c r="C225" s="5" t="s">
        <v>237</v>
      </c>
      <c r="D225" s="6" t="s">
        <v>194</v>
      </c>
      <c r="E225" s="4">
        <v>1</v>
      </c>
      <c r="F225" s="4"/>
      <c r="G225" s="7">
        <v>2.6324999999999998</v>
      </c>
      <c r="H225" s="7"/>
      <c r="I225" s="10">
        <v>2.5535249999999996</v>
      </c>
      <c r="J225" s="7"/>
      <c r="K225" s="10"/>
      <c r="L225" s="10"/>
      <c r="N225" s="10"/>
    </row>
    <row r="226" spans="2:14" ht="13.2" customHeight="1" x14ac:dyDescent="0.3">
      <c r="B226" s="4">
        <f t="shared" si="11"/>
        <v>217</v>
      </c>
      <c r="C226" s="5" t="s">
        <v>238</v>
      </c>
      <c r="D226" s="6" t="s">
        <v>194</v>
      </c>
      <c r="E226" s="4">
        <v>1</v>
      </c>
      <c r="F226" s="4"/>
      <c r="G226" s="7">
        <v>5.194799999999999</v>
      </c>
      <c r="H226" s="7"/>
      <c r="I226" s="10">
        <v>5.0389559999999989</v>
      </c>
      <c r="J226" s="7"/>
      <c r="K226" s="10"/>
      <c r="L226" s="10"/>
      <c r="N226" s="10"/>
    </row>
    <row r="227" spans="2:14" ht="13.2" customHeight="1" x14ac:dyDescent="0.3">
      <c r="B227" s="4">
        <f t="shared" si="11"/>
        <v>218</v>
      </c>
      <c r="C227" s="5" t="s">
        <v>239</v>
      </c>
      <c r="D227" s="6" t="s">
        <v>194</v>
      </c>
      <c r="E227" s="4">
        <v>1</v>
      </c>
      <c r="F227" s="4"/>
      <c r="G227" s="7">
        <v>9.8958600000000008</v>
      </c>
      <c r="H227" s="7"/>
      <c r="I227" s="10">
        <v>9.5989842000000003</v>
      </c>
      <c r="J227" s="7"/>
      <c r="K227" s="10"/>
      <c r="L227" s="10"/>
      <c r="N227" s="10"/>
    </row>
    <row r="228" spans="2:14" ht="13.2" customHeight="1" x14ac:dyDescent="0.3">
      <c r="B228" s="4">
        <f t="shared" si="11"/>
        <v>219</v>
      </c>
      <c r="C228" s="5" t="s">
        <v>240</v>
      </c>
      <c r="D228" s="6" t="s">
        <v>194</v>
      </c>
      <c r="E228" s="4">
        <v>1</v>
      </c>
      <c r="F228" s="4"/>
      <c r="G228" s="7">
        <v>24.324300000000004</v>
      </c>
      <c r="H228" s="7"/>
      <c r="I228" s="10">
        <v>23.594571000000002</v>
      </c>
      <c r="J228" s="7"/>
      <c r="K228" s="10"/>
      <c r="L228" s="10"/>
      <c r="N228" s="10"/>
    </row>
    <row r="229" spans="2:14" ht="13.2" customHeight="1" x14ac:dyDescent="0.3">
      <c r="B229" s="4">
        <f t="shared" si="11"/>
        <v>220</v>
      </c>
      <c r="C229" s="5" t="s">
        <v>241</v>
      </c>
      <c r="D229" s="6" t="s">
        <v>194</v>
      </c>
      <c r="E229" s="4">
        <v>1</v>
      </c>
      <c r="F229" s="4"/>
      <c r="G229" s="7">
        <v>5.0220000000000002</v>
      </c>
      <c r="H229" s="7"/>
      <c r="I229" s="10">
        <v>4.87134</v>
      </c>
      <c r="J229" s="7"/>
      <c r="K229" s="10"/>
      <c r="L229" s="10"/>
      <c r="N229" s="10"/>
    </row>
    <row r="230" spans="2:14" ht="13.2" customHeight="1" x14ac:dyDescent="0.3">
      <c r="B230" s="4">
        <f t="shared" si="11"/>
        <v>221</v>
      </c>
      <c r="C230" s="5" t="s">
        <v>242</v>
      </c>
      <c r="D230" s="6" t="s">
        <v>194</v>
      </c>
      <c r="E230" s="4">
        <v>1</v>
      </c>
      <c r="F230" s="4"/>
      <c r="G230" s="7">
        <v>38.069460000000007</v>
      </c>
      <c r="H230" s="7"/>
      <c r="I230" s="10">
        <v>36.927376200000005</v>
      </c>
      <c r="J230" s="7"/>
      <c r="K230" s="10"/>
      <c r="L230" s="10"/>
      <c r="N230" s="10"/>
    </row>
    <row r="231" spans="2:14" ht="13.2" customHeight="1" x14ac:dyDescent="0.3">
      <c r="B231" s="4">
        <f t="shared" si="11"/>
        <v>222</v>
      </c>
      <c r="C231" s="5" t="s">
        <v>243</v>
      </c>
      <c r="D231" s="6" t="s">
        <v>194</v>
      </c>
      <c r="E231" s="4">
        <v>1</v>
      </c>
      <c r="F231" s="4"/>
      <c r="G231" s="7">
        <v>2.0070000000000001</v>
      </c>
      <c r="H231" s="7"/>
      <c r="I231" s="10">
        <v>1.94679</v>
      </c>
      <c r="J231" s="7"/>
      <c r="K231" s="10"/>
      <c r="L231" s="10"/>
      <c r="N231" s="10"/>
    </row>
    <row r="232" spans="2:14" ht="13.2" customHeight="1" x14ac:dyDescent="0.3">
      <c r="B232" s="4">
        <f t="shared" si="11"/>
        <v>223</v>
      </c>
      <c r="C232" s="5" t="s">
        <v>244</v>
      </c>
      <c r="D232" s="6" t="s">
        <v>194</v>
      </c>
      <c r="E232" s="4">
        <v>1</v>
      </c>
      <c r="F232" s="4"/>
      <c r="G232" s="7">
        <v>4.7256299999999989</v>
      </c>
      <c r="H232" s="7"/>
      <c r="I232" s="10">
        <v>4.5838610999999991</v>
      </c>
      <c r="J232" s="7"/>
      <c r="K232" s="10"/>
      <c r="L232" s="10"/>
      <c r="N232" s="10"/>
    </row>
    <row r="233" spans="2:14" ht="13.2" customHeight="1" x14ac:dyDescent="0.3">
      <c r="B233" s="4">
        <f t="shared" si="11"/>
        <v>224</v>
      </c>
      <c r="C233" s="5" t="s">
        <v>245</v>
      </c>
      <c r="D233" s="6" t="s">
        <v>194</v>
      </c>
      <c r="E233" s="4">
        <v>1</v>
      </c>
      <c r="F233" s="4"/>
      <c r="G233" s="7">
        <v>9.0230399999999982</v>
      </c>
      <c r="H233" s="7"/>
      <c r="I233" s="10">
        <v>8.7523487999999983</v>
      </c>
      <c r="J233" s="7"/>
      <c r="K233" s="10"/>
      <c r="L233" s="10"/>
      <c r="N233" s="10"/>
    </row>
    <row r="234" spans="2:14" ht="13.2" customHeight="1" x14ac:dyDescent="0.3">
      <c r="B234" s="4">
        <f t="shared" si="11"/>
        <v>225</v>
      </c>
      <c r="C234" s="5" t="s">
        <v>246</v>
      </c>
      <c r="D234" s="6" t="s">
        <v>194</v>
      </c>
      <c r="E234" s="4">
        <v>1</v>
      </c>
      <c r="F234" s="4"/>
      <c r="G234" s="7">
        <v>19.230119999999999</v>
      </c>
      <c r="H234" s="7"/>
      <c r="I234" s="10">
        <v>18.653216399999998</v>
      </c>
      <c r="J234" s="7"/>
      <c r="K234" s="10"/>
      <c r="L234" s="10"/>
      <c r="N234" s="10"/>
    </row>
    <row r="235" spans="2:14" ht="13.2" customHeight="1" x14ac:dyDescent="0.3">
      <c r="B235" s="4">
        <f t="shared" si="11"/>
        <v>226</v>
      </c>
      <c r="C235" s="5" t="s">
        <v>247</v>
      </c>
      <c r="D235" s="6" t="s">
        <v>194</v>
      </c>
      <c r="E235" s="4">
        <v>1</v>
      </c>
      <c r="F235" s="4"/>
      <c r="G235" s="7">
        <v>44.710380000000001</v>
      </c>
      <c r="H235" s="7"/>
      <c r="I235" s="10">
        <v>43.369068599999999</v>
      </c>
      <c r="J235" s="7"/>
      <c r="K235" s="10"/>
      <c r="L235" s="10"/>
      <c r="N235" s="10"/>
    </row>
    <row r="236" spans="2:14" ht="13.2" customHeight="1" x14ac:dyDescent="0.3">
      <c r="B236" s="4">
        <f t="shared" si="11"/>
        <v>227</v>
      </c>
      <c r="C236" s="5" t="s">
        <v>248</v>
      </c>
      <c r="D236" s="6" t="s">
        <v>194</v>
      </c>
      <c r="E236" s="4">
        <v>1</v>
      </c>
      <c r="F236" s="4"/>
      <c r="G236" s="7">
        <v>10.019699999999998</v>
      </c>
      <c r="H236" s="7"/>
      <c r="I236" s="10">
        <v>9.7191089999999978</v>
      </c>
      <c r="J236" s="7"/>
      <c r="K236" s="10"/>
      <c r="L236" s="10"/>
      <c r="N236" s="10"/>
    </row>
    <row r="237" spans="2:14" ht="13.2" customHeight="1" x14ac:dyDescent="0.3">
      <c r="B237" s="4">
        <f t="shared" si="11"/>
        <v>228</v>
      </c>
      <c r="C237" s="5" t="s">
        <v>249</v>
      </c>
      <c r="D237" s="6" t="s">
        <v>194</v>
      </c>
      <c r="E237" s="4">
        <v>1</v>
      </c>
      <c r="F237" s="4"/>
      <c r="G237" s="7">
        <v>17.559899999999999</v>
      </c>
      <c r="H237" s="7"/>
      <c r="I237" s="10">
        <v>17.033102999999997</v>
      </c>
      <c r="J237" s="7"/>
      <c r="K237" s="10"/>
      <c r="L237" s="10"/>
      <c r="N237" s="10"/>
    </row>
    <row r="238" spans="2:14" ht="13.2" customHeight="1" x14ac:dyDescent="0.3">
      <c r="B238" s="4">
        <f t="shared" si="11"/>
        <v>229</v>
      </c>
      <c r="C238" s="5" t="s">
        <v>250</v>
      </c>
      <c r="D238" s="6" t="s">
        <v>194</v>
      </c>
      <c r="E238" s="4">
        <v>1</v>
      </c>
      <c r="F238" s="4"/>
      <c r="G238" s="7">
        <v>11.863800000000001</v>
      </c>
      <c r="H238" s="7"/>
      <c r="I238" s="10">
        <v>11.507886000000001</v>
      </c>
      <c r="J238" s="7"/>
      <c r="K238" s="10"/>
      <c r="L238" s="10"/>
      <c r="N238" s="10"/>
    </row>
    <row r="239" spans="2:14" ht="13.2" customHeight="1" x14ac:dyDescent="0.3">
      <c r="B239" s="4">
        <f t="shared" si="11"/>
        <v>230</v>
      </c>
      <c r="C239" s="5" t="s">
        <v>251</v>
      </c>
      <c r="D239" s="6" t="s">
        <v>194</v>
      </c>
      <c r="E239" s="4">
        <v>1</v>
      </c>
      <c r="F239" s="4"/>
      <c r="G239" s="7">
        <v>47.959199999999996</v>
      </c>
      <c r="H239" s="7"/>
      <c r="I239" s="10">
        <v>46.520423999999991</v>
      </c>
      <c r="J239" s="7"/>
      <c r="K239" s="10"/>
      <c r="L239" s="10"/>
      <c r="N239" s="10"/>
    </row>
    <row r="240" spans="2:14" ht="13.2" customHeight="1" x14ac:dyDescent="0.3">
      <c r="B240" s="4">
        <f t="shared" si="11"/>
        <v>231</v>
      </c>
      <c r="C240" s="5" t="s">
        <v>252</v>
      </c>
      <c r="D240" s="6" t="s">
        <v>194</v>
      </c>
      <c r="E240" s="4">
        <v>1</v>
      </c>
      <c r="F240" s="4"/>
      <c r="G240" s="7">
        <v>0.69029999999999991</v>
      </c>
      <c r="H240" s="7"/>
      <c r="I240" s="10">
        <v>0.66959099999999994</v>
      </c>
      <c r="J240" s="7"/>
      <c r="K240" s="10"/>
      <c r="L240" s="10"/>
      <c r="N240" s="10"/>
    </row>
    <row r="241" spans="2:14" ht="13.2" customHeight="1" x14ac:dyDescent="0.3">
      <c r="B241" s="4">
        <f t="shared" si="11"/>
        <v>232</v>
      </c>
      <c r="C241" s="5" t="s">
        <v>253</v>
      </c>
      <c r="D241" s="6" t="s">
        <v>194</v>
      </c>
      <c r="E241" s="4">
        <v>1</v>
      </c>
      <c r="F241" s="4"/>
      <c r="G241" s="7">
        <v>1.4624999999999999</v>
      </c>
      <c r="H241" s="7"/>
      <c r="I241" s="10">
        <v>1.4186249999999998</v>
      </c>
      <c r="J241" s="7"/>
      <c r="K241" s="10"/>
      <c r="L241" s="10"/>
      <c r="N241" s="10"/>
    </row>
    <row r="242" spans="2:14" ht="13.2" customHeight="1" x14ac:dyDescent="0.3">
      <c r="B242" s="4">
        <f t="shared" si="11"/>
        <v>233</v>
      </c>
      <c r="C242" s="5" t="s">
        <v>254</v>
      </c>
      <c r="D242" s="6" t="s">
        <v>194</v>
      </c>
      <c r="E242" s="4">
        <v>1</v>
      </c>
      <c r="F242" s="4"/>
      <c r="G242" s="7">
        <v>2.67462</v>
      </c>
      <c r="H242" s="7"/>
      <c r="I242" s="10">
        <v>2.5943814000000001</v>
      </c>
      <c r="J242" s="7"/>
      <c r="K242" s="10"/>
      <c r="L242" s="10"/>
      <c r="N242" s="10"/>
    </row>
    <row r="243" spans="2:14" ht="12.6" customHeight="1" x14ac:dyDescent="0.3">
      <c r="B243" s="4">
        <f t="shared" si="11"/>
        <v>234</v>
      </c>
      <c r="C243" s="5" t="s">
        <v>255</v>
      </c>
      <c r="D243" s="6" t="s">
        <v>194</v>
      </c>
      <c r="E243" s="4">
        <v>1</v>
      </c>
      <c r="F243" s="4"/>
      <c r="G243" s="7">
        <v>4.7150999999999987</v>
      </c>
      <c r="H243" s="7"/>
      <c r="I243" s="10">
        <v>4.5736469999999985</v>
      </c>
      <c r="J243" s="7"/>
      <c r="K243" s="10"/>
      <c r="L243" s="10"/>
      <c r="N243" s="10"/>
    </row>
    <row r="244" spans="2:14" ht="12.6" customHeight="1" x14ac:dyDescent="0.3">
      <c r="B244" s="4">
        <f t="shared" si="11"/>
        <v>235</v>
      </c>
      <c r="C244" s="5" t="s">
        <v>256</v>
      </c>
      <c r="D244" s="6" t="s">
        <v>194</v>
      </c>
      <c r="E244" s="4">
        <v>1</v>
      </c>
      <c r="F244" s="4"/>
      <c r="G244" s="7">
        <v>11.790089999999999</v>
      </c>
      <c r="H244" s="7"/>
      <c r="I244" s="10">
        <v>11.4363873</v>
      </c>
      <c r="J244" s="7"/>
      <c r="K244" s="10"/>
      <c r="L244" s="10"/>
      <c r="N244" s="10"/>
    </row>
    <row r="245" spans="2:14" ht="12.6" customHeight="1" x14ac:dyDescent="0.3">
      <c r="B245" s="4">
        <f t="shared" si="11"/>
        <v>236</v>
      </c>
      <c r="C245" s="5" t="s">
        <v>257</v>
      </c>
      <c r="D245" s="6" t="s">
        <v>194</v>
      </c>
      <c r="E245" s="4">
        <v>1</v>
      </c>
      <c r="F245" s="4"/>
      <c r="G245" s="7">
        <v>4.2073200000000011</v>
      </c>
      <c r="H245" s="7"/>
      <c r="I245" s="10">
        <v>4.0811004000000013</v>
      </c>
      <c r="J245" s="7"/>
      <c r="K245" s="10"/>
      <c r="L245" s="10"/>
      <c r="N245" s="10"/>
    </row>
    <row r="246" spans="2:14" ht="12.6" customHeight="1" x14ac:dyDescent="0.3">
      <c r="B246" s="4">
        <f t="shared" si="11"/>
        <v>237</v>
      </c>
      <c r="C246" s="5" t="s">
        <v>258</v>
      </c>
      <c r="D246" s="6" t="s">
        <v>194</v>
      </c>
      <c r="E246" s="4">
        <v>1</v>
      </c>
      <c r="F246" s="4"/>
      <c r="G246" s="7">
        <v>6.0266700000000002</v>
      </c>
      <c r="H246" s="7"/>
      <c r="I246" s="10">
        <v>5.8458699000000003</v>
      </c>
      <c r="J246" s="7"/>
      <c r="K246" s="10"/>
      <c r="L246" s="10"/>
      <c r="N246" s="10"/>
    </row>
    <row r="247" spans="2:14" ht="12.6" customHeight="1" x14ac:dyDescent="0.3">
      <c r="B247" s="4">
        <f t="shared" si="11"/>
        <v>238</v>
      </c>
      <c r="C247" s="5" t="s">
        <v>259</v>
      </c>
      <c r="D247" s="6" t="s">
        <v>194</v>
      </c>
      <c r="E247" s="4">
        <v>1</v>
      </c>
      <c r="F247" s="4"/>
      <c r="G247" s="7">
        <v>9.9344699999999992</v>
      </c>
      <c r="H247" s="7"/>
      <c r="I247" s="10">
        <v>9.6364358999999986</v>
      </c>
      <c r="J247" s="7"/>
      <c r="K247" s="10"/>
      <c r="L247" s="10"/>
      <c r="N247" s="10"/>
    </row>
    <row r="248" spans="2:14" ht="12.6" customHeight="1" x14ac:dyDescent="0.3">
      <c r="B248" s="4">
        <f t="shared" si="11"/>
        <v>239</v>
      </c>
      <c r="C248" s="5" t="s">
        <v>260</v>
      </c>
      <c r="D248" s="6" t="s">
        <v>194</v>
      </c>
      <c r="E248" s="4">
        <v>1</v>
      </c>
      <c r="F248" s="4"/>
      <c r="G248" s="7">
        <v>36.514530000000001</v>
      </c>
      <c r="H248" s="7"/>
      <c r="I248" s="10">
        <v>35.419094100000002</v>
      </c>
      <c r="J248" s="7"/>
      <c r="K248" s="10"/>
      <c r="L248" s="10"/>
      <c r="N248" s="10"/>
    </row>
    <row r="249" spans="2:14" ht="12.6" customHeight="1" x14ac:dyDescent="0.3">
      <c r="B249" s="4">
        <f t="shared" si="11"/>
        <v>240</v>
      </c>
      <c r="C249" s="5" t="s">
        <v>261</v>
      </c>
      <c r="D249" s="6" t="s">
        <v>194</v>
      </c>
      <c r="E249" s="4">
        <v>1</v>
      </c>
      <c r="F249" s="4"/>
      <c r="G249" s="7">
        <v>4.6080000000000005</v>
      </c>
      <c r="H249" s="7"/>
      <c r="I249" s="10">
        <v>4.4697600000000008</v>
      </c>
      <c r="J249" s="7"/>
      <c r="K249" s="10"/>
      <c r="L249" s="10"/>
      <c r="N249" s="10"/>
    </row>
    <row r="250" spans="2:14" ht="12.6" customHeight="1" x14ac:dyDescent="0.3">
      <c r="B250" s="4">
        <f t="shared" si="11"/>
        <v>241</v>
      </c>
      <c r="C250" s="5" t="s">
        <v>262</v>
      </c>
      <c r="D250" s="6" t="s">
        <v>194</v>
      </c>
      <c r="E250" s="4">
        <v>1</v>
      </c>
      <c r="F250" s="4"/>
      <c r="G250" s="7">
        <v>24.96078</v>
      </c>
      <c r="H250" s="7"/>
      <c r="I250" s="10">
        <v>24.211956600000001</v>
      </c>
      <c r="J250" s="7"/>
      <c r="K250" s="10"/>
      <c r="L250" s="10"/>
      <c r="N250" s="10"/>
    </row>
    <row r="251" spans="2:14" ht="12.6" customHeight="1" x14ac:dyDescent="0.3">
      <c r="B251" s="4">
        <f t="shared" si="11"/>
        <v>242</v>
      </c>
      <c r="C251" s="5" t="s">
        <v>263</v>
      </c>
      <c r="D251" s="6" t="s">
        <v>194</v>
      </c>
      <c r="E251" s="4">
        <v>1</v>
      </c>
      <c r="F251" s="4"/>
      <c r="G251" s="7">
        <v>5.508</v>
      </c>
      <c r="H251" s="7"/>
      <c r="I251" s="10">
        <v>5.3427600000000002</v>
      </c>
      <c r="J251" s="7"/>
      <c r="K251" s="10"/>
      <c r="L251" s="10"/>
      <c r="N251" s="10"/>
    </row>
    <row r="252" spans="2:14" ht="12.6" customHeight="1" x14ac:dyDescent="0.3">
      <c r="B252" s="4">
        <f t="shared" si="11"/>
        <v>243</v>
      </c>
      <c r="C252" s="5" t="s">
        <v>264</v>
      </c>
      <c r="D252" s="6" t="s">
        <v>194</v>
      </c>
      <c r="E252" s="4">
        <v>1</v>
      </c>
      <c r="F252" s="4"/>
      <c r="G252" s="7">
        <v>11.401649999999998</v>
      </c>
      <c r="H252" s="7"/>
      <c r="I252" s="10">
        <v>11.059600499999998</v>
      </c>
      <c r="J252" s="7"/>
      <c r="K252" s="10"/>
      <c r="L252" s="10"/>
      <c r="N252" s="10"/>
    </row>
    <row r="253" spans="2:14" ht="12.6" customHeight="1" x14ac:dyDescent="0.3">
      <c r="B253" s="4">
        <f t="shared" si="11"/>
        <v>244</v>
      </c>
      <c r="C253" s="5" t="s">
        <v>265</v>
      </c>
      <c r="D253" s="6" t="s">
        <v>194</v>
      </c>
      <c r="E253" s="4">
        <v>1</v>
      </c>
      <c r="F253" s="4"/>
      <c r="G253" s="7">
        <v>3.8984399999999999</v>
      </c>
      <c r="H253" s="7"/>
      <c r="I253" s="10">
        <v>3.7814867999999997</v>
      </c>
      <c r="J253" s="7"/>
      <c r="K253" s="10"/>
      <c r="L253" s="10"/>
      <c r="N253" s="10"/>
    </row>
    <row r="254" spans="2:14" ht="12.6" customHeight="1" x14ac:dyDescent="0.3">
      <c r="B254" s="4">
        <f t="shared" si="11"/>
        <v>245</v>
      </c>
      <c r="C254" s="5" t="s">
        <v>266</v>
      </c>
      <c r="D254" s="6" t="s">
        <v>194</v>
      </c>
      <c r="E254" s="4">
        <v>1</v>
      </c>
      <c r="F254" s="4"/>
      <c r="G254" s="7">
        <v>10.078379999999999</v>
      </c>
      <c r="H254" s="7"/>
      <c r="I254" s="10">
        <v>9.7760285999999983</v>
      </c>
      <c r="J254" s="7"/>
      <c r="K254" s="10"/>
      <c r="L254" s="10"/>
      <c r="N254" s="10"/>
    </row>
    <row r="255" spans="2:14" ht="13.2" customHeight="1" x14ac:dyDescent="0.3">
      <c r="B255" s="4">
        <f t="shared" si="11"/>
        <v>246</v>
      </c>
      <c r="C255" s="5" t="s">
        <v>267</v>
      </c>
      <c r="D255" s="6" t="s">
        <v>194</v>
      </c>
      <c r="E255" s="4">
        <v>1</v>
      </c>
      <c r="F255" s="4"/>
      <c r="G255" s="7">
        <v>15.387840000000001</v>
      </c>
      <c r="H255" s="7"/>
      <c r="I255" s="10">
        <v>14.926204800000001</v>
      </c>
      <c r="J255" s="7"/>
      <c r="K255" s="10"/>
      <c r="L255" s="10"/>
      <c r="N255" s="10"/>
    </row>
    <row r="256" spans="2:14" ht="13.2" customHeight="1" x14ac:dyDescent="0.3">
      <c r="B256" s="4">
        <f t="shared" si="11"/>
        <v>247</v>
      </c>
      <c r="C256" s="5" t="s">
        <v>268</v>
      </c>
      <c r="D256" s="6" t="s">
        <v>194</v>
      </c>
      <c r="E256" s="4">
        <v>1</v>
      </c>
      <c r="F256" s="4"/>
      <c r="G256" s="7">
        <v>35.962290000000003</v>
      </c>
      <c r="H256" s="7"/>
      <c r="I256" s="10">
        <v>34.883421300000002</v>
      </c>
      <c r="J256" s="7"/>
      <c r="K256" s="10"/>
      <c r="L256" s="10"/>
      <c r="N256" s="10"/>
    </row>
    <row r="257" spans="1:14" ht="13.2" customHeight="1" x14ac:dyDescent="0.3">
      <c r="B257" s="4">
        <f t="shared" si="11"/>
        <v>248</v>
      </c>
      <c r="C257" s="5" t="s">
        <v>269</v>
      </c>
      <c r="D257" s="6" t="s">
        <v>194</v>
      </c>
      <c r="E257" s="4">
        <v>1</v>
      </c>
      <c r="F257" s="4"/>
      <c r="G257" s="7">
        <v>24.464700000000001</v>
      </c>
      <c r="H257" s="7"/>
      <c r="I257" s="10">
        <v>23.730758999999999</v>
      </c>
      <c r="J257" s="7"/>
      <c r="K257" s="10"/>
      <c r="L257" s="10"/>
      <c r="N257" s="10"/>
    </row>
    <row r="258" spans="1:14" ht="13.2" customHeight="1" x14ac:dyDescent="0.3">
      <c r="B258" s="4">
        <f t="shared" si="11"/>
        <v>249</v>
      </c>
      <c r="C258" s="5" t="s">
        <v>270</v>
      </c>
      <c r="D258" s="6" t="s">
        <v>194</v>
      </c>
      <c r="E258" s="4">
        <v>1</v>
      </c>
      <c r="F258" s="4"/>
      <c r="G258" s="7">
        <v>11.863799999999998</v>
      </c>
      <c r="H258" s="7"/>
      <c r="I258" s="10">
        <v>11.507885999999997</v>
      </c>
      <c r="J258" s="7"/>
      <c r="K258" s="10"/>
      <c r="L258" s="10"/>
      <c r="N258" s="10"/>
    </row>
    <row r="259" spans="1:14" ht="13.2" customHeight="1" x14ac:dyDescent="0.3">
      <c r="B259" s="4">
        <f t="shared" si="11"/>
        <v>250</v>
      </c>
      <c r="C259" s="5" t="s">
        <v>271</v>
      </c>
      <c r="D259" s="6" t="s">
        <v>194</v>
      </c>
      <c r="E259" s="4">
        <v>1</v>
      </c>
      <c r="F259" s="4"/>
      <c r="G259" s="7">
        <v>36.115560000000002</v>
      </c>
      <c r="H259" s="7"/>
      <c r="I259" s="10">
        <v>35.032093199999998</v>
      </c>
      <c r="J259" s="7"/>
      <c r="K259" s="10"/>
      <c r="L259" s="10"/>
      <c r="N259" s="10"/>
    </row>
    <row r="260" spans="1:14" ht="13.2" customHeight="1" x14ac:dyDescent="0.3">
      <c r="B260" s="4">
        <f t="shared" si="11"/>
        <v>251</v>
      </c>
      <c r="C260" s="5" t="s">
        <v>272</v>
      </c>
      <c r="D260" s="6" t="s">
        <v>194</v>
      </c>
      <c r="E260" s="4">
        <v>1</v>
      </c>
      <c r="F260" s="4"/>
      <c r="G260" s="7">
        <v>13.453829999999998</v>
      </c>
      <c r="H260" s="7"/>
      <c r="I260" s="10">
        <v>13.050215099999997</v>
      </c>
      <c r="J260" s="7"/>
      <c r="K260" s="10"/>
      <c r="L260" s="10"/>
      <c r="N260" s="10"/>
    </row>
    <row r="261" spans="1:14" ht="13.2" customHeight="1" x14ac:dyDescent="0.3">
      <c r="B261" s="4">
        <f t="shared" si="11"/>
        <v>252</v>
      </c>
      <c r="C261" s="5" t="s">
        <v>273</v>
      </c>
      <c r="D261" s="6" t="s">
        <v>194</v>
      </c>
      <c r="E261" s="4">
        <v>1</v>
      </c>
      <c r="F261" s="4"/>
      <c r="G261" s="7">
        <v>14.436629999999997</v>
      </c>
      <c r="H261" s="7"/>
      <c r="I261" s="10">
        <v>14.003531099999996</v>
      </c>
      <c r="J261" s="7"/>
      <c r="K261" s="10"/>
      <c r="L261" s="10"/>
      <c r="N261" s="10"/>
    </row>
    <row r="262" spans="1:14" ht="13.2" customHeight="1" x14ac:dyDescent="0.3">
      <c r="A262" s="9"/>
      <c r="B262" s="4">
        <f t="shared" si="11"/>
        <v>253</v>
      </c>
      <c r="C262" s="5" t="s">
        <v>274</v>
      </c>
      <c r="D262" s="6" t="s">
        <v>194</v>
      </c>
      <c r="E262" s="4">
        <v>1</v>
      </c>
      <c r="F262" s="4"/>
      <c r="G262" s="7">
        <v>36.225000000000001</v>
      </c>
      <c r="H262" s="7"/>
      <c r="I262" s="10">
        <v>35.138249999999999</v>
      </c>
      <c r="J262" s="7"/>
      <c r="K262" s="10"/>
      <c r="L262" s="10"/>
      <c r="N262" s="10"/>
    </row>
    <row r="263" spans="1:14" ht="25.2" customHeight="1" x14ac:dyDescent="0.3">
      <c r="B263" s="18" t="s">
        <v>215</v>
      </c>
      <c r="C263" s="19"/>
      <c r="D263" s="19"/>
      <c r="E263" s="19"/>
      <c r="F263" s="20"/>
      <c r="G263" s="17">
        <f>SUM(H10:H204)</f>
        <v>893297.29872231279</v>
      </c>
      <c r="H263" s="17"/>
      <c r="I263" s="17">
        <f>SUM(J10:J204)</f>
        <v>893297.29872231279</v>
      </c>
      <c r="J263" s="17"/>
    </row>
    <row r="264" spans="1:14" ht="13.2" customHeight="1" x14ac:dyDescent="0.3"/>
    <row r="265" spans="1:14" ht="13.2" customHeight="1" x14ac:dyDescent="0.3"/>
    <row r="266" spans="1:14" ht="13.2" customHeight="1" x14ac:dyDescent="0.3"/>
    <row r="267" spans="1:14" ht="13.2" customHeight="1" x14ac:dyDescent="0.3"/>
    <row r="268" spans="1:14" ht="13.2" customHeight="1" x14ac:dyDescent="0.3"/>
  </sheetData>
  <mergeCells count="18">
    <mergeCell ref="B2:H2"/>
    <mergeCell ref="B3:C3"/>
    <mergeCell ref="B4:C4"/>
    <mergeCell ref="B5:C5"/>
    <mergeCell ref="D3:F3"/>
    <mergeCell ref="D4:F4"/>
    <mergeCell ref="D5:F5"/>
    <mergeCell ref="G3:H8"/>
    <mergeCell ref="I3:J8"/>
    <mergeCell ref="I263:J263"/>
    <mergeCell ref="B263:F263"/>
    <mergeCell ref="G263:H263"/>
    <mergeCell ref="B6:C6"/>
    <mergeCell ref="B7:C7"/>
    <mergeCell ref="B8:C8"/>
    <mergeCell ref="D6:F6"/>
    <mergeCell ref="D7:F7"/>
    <mergeCell ref="D8:F8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Basilio Portero Simon</dc:creator>
  <cp:lastModifiedBy>Vanessa Andrade</cp:lastModifiedBy>
  <dcterms:created xsi:type="dcterms:W3CDTF">2025-10-08T14:43:58Z</dcterms:created>
  <dcterms:modified xsi:type="dcterms:W3CDTF">2026-03-09T20:57:50Z</dcterms:modified>
</cp:coreProperties>
</file>